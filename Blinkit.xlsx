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33B753B-A208-4B61-9D9D-5C4BFA1F336E}" xr6:coauthVersionLast="47" xr6:coauthVersionMax="47" xr10:uidLastSave="{00000000-0000-0000-0000-000000000000}"/>
  <bookViews>
    <workbookView xWindow="-108" yWindow="-108" windowWidth="23256" windowHeight="12576" tabRatio="396" firstSheet="4" activeTab="6" xr2:uid="{F8420BDF-C08E-4FBB-891B-F574F63AC6D0}"/>
  </bookViews>
  <sheets>
    <sheet name="Blinkit Grocery Data" sheetId="1" r:id="rId1"/>
    <sheet name="Pivot1-Outlet Type" sheetId="6" r:id="rId2"/>
    <sheet name="Pivot2-Fat Content" sheetId="7" r:id="rId3"/>
    <sheet name="Pivot3 -Year Trend" sheetId="8" r:id="rId4"/>
    <sheet name="Pivot4-Item Type" sheetId="9" r:id="rId5"/>
    <sheet name="Pivot5-Outlet Size" sheetId="10" r:id="rId6"/>
    <sheet name="Blinkit Sales Dashboard" sheetId="11" r:id="rId7"/>
  </sheets>
  <definedNames>
    <definedName name="Slicer_Item_Fat_Content">#N/A</definedName>
    <definedName name="Slicer_Outlet_Establishment_Year">#N/A</definedName>
    <definedName name="Slicer_Outlet_Location_Type1">#N/A</definedName>
    <definedName name="Slicer_Outlet_Siz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4" i="1" l="1"/>
  <c r="P20" i="1"/>
  <c r="P24" i="1"/>
  <c r="P27" i="1"/>
  <c r="P22" i="1"/>
  <c r="P2" i="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alcChain>
</file>

<file path=xl/sharedStrings.xml><?xml version="1.0" encoding="utf-8"?>
<sst xmlns="http://schemas.openxmlformats.org/spreadsheetml/2006/main" count="59732" uniqueCount="1616">
  <si>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</si>
  <si>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</si>
  <si>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</si>
  <si>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</si>
  <si>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</si>
  <si>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</si>
  <si>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</si>
  <si>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</si>
  <si>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</si>
  <si>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</si>
  <si>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</si>
  <si>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</si>
  <si>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</si>
  <si>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</si>
  <si>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</si>
  <si>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</si>
  <si>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</si>
  <si>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</si>
  <si>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</si>
  <si>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</si>
  <si>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</si>
  <si>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</si>
  <si>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</si>
  <si>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</si>
  <si>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</si>
  <si>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</si>
  <si>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</si>
  <si>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</si>
  <si>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</si>
  <si>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</si>
  <si>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</si>
  <si>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</si>
  <si>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</si>
  <si>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</si>
  <si>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</si>
  <si>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</si>
  <si>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</si>
  <si>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</si>
  <si>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</si>
  <si>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</si>
  <si>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</si>
  <si>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</si>
  <si>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</si>
  <si>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</si>
  <si>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</si>
  <si>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</si>
  <si>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</si>
  <si>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</si>
  <si>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</si>
  <si>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</si>
  <si>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</si>
  <si>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</si>
  <si>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</si>
  <si>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</si>
  <si>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</si>
  <si>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</si>
  <si>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</si>
  <si>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</si>
  <si>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</si>
  <si>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</si>
  <si>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</si>
  <si>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</si>
  <si>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</si>
  <si>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</si>
  <si>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</si>
  <si>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</si>
  <si>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</si>
  <si>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</si>
  <si>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</si>
  <si>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</si>
  <si>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</si>
  <si>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</si>
  <si>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</si>
  <si>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</si>
  <si>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</si>
  <si>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</si>
  <si>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</si>
  <si>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</si>
  <si>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</si>
  <si>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</si>
  <si>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</si>
  <si>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</si>
  <si>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</si>
  <si>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</si>
  <si>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</si>
  <si>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</si>
  <si>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</si>
  <si>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</si>
  <si>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</si>
  <si>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</si>
  <si>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</si>
  <si>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</si>
  <si>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</si>
  <si>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</si>
  <si>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</si>
  <si>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</si>
  <si>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</si>
  <si>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</si>
  <si>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</si>
  <si>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</si>
  <si>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</si>
  <si>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</si>
  <si>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</si>
  <si>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</si>
  <si>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</si>
  <si>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</si>
  <si>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</si>
  <si>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</si>
  <si>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</si>
  <si>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</si>
  <si>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</si>
  <si>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</si>
  <si>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</si>
  <si>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</si>
  <si>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</si>
  <si>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</si>
  <si>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</si>
  <si>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</si>
  <si>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</si>
  <si>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</si>
  <si>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</si>
  <si>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</si>
  <si>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</si>
  <si>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</si>
  <si>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</si>
  <si>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</si>
  <si>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</si>
  <si>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</si>
  <si>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</si>
  <si>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</si>
  <si>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</si>
  <si>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</si>
  <si>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</si>
  <si>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</si>
  <si>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</si>
  <si>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</si>
  <si>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</si>
  <si>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</si>
  <si>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</si>
  <si>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</si>
  <si>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</si>
  <si>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</si>
  <si>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</si>
  <si>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</si>
  <si>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</si>
  <si>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</si>
  <si>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</si>
  <si>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</si>
  <si>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</si>
  <si>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</si>
  <si>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</si>
  <si>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</si>
  <si>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</si>
  <si>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</si>
  <si>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</si>
  <si>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</si>
  <si>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</si>
  <si>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</si>
  <si>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</si>
  <si>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</si>
  <si>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</si>
  <si>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</si>
  <si>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</si>
  <si>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</si>
  <si>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</si>
  <si>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</si>
  <si>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</si>
  <si>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</si>
  <si>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</si>
  <si>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</si>
  <si>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</si>
  <si>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</si>
  <si>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</si>
  <si>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</si>
  <si>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</si>
  <si>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</si>
  <si>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</si>
  <si>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</si>
  <si>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</si>
  <si>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</si>
  <si>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</si>
  <si>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</si>
  <si>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</si>
  <si>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</si>
  <si>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</si>
  <si>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</si>
  <si>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</si>
  <si>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</si>
  <si>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</si>
  <si>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</si>
  <si>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</si>
  <si>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</si>
  <si>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</si>
  <si>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</si>
  <si>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</si>
  <si>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</si>
  <si>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</si>
  <si>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</si>
  <si>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</si>
  <si>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</si>
  <si>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</si>
  <si>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</si>
  <si>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</si>
  <si>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</si>
  <si>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</si>
  <si>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</si>
  <si>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</si>
  <si>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</si>
  <si>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</si>
  <si>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</si>
  <si>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</si>
  <si>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</si>
  <si>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</si>
  <si>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</si>
  <si>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</si>
  <si>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</si>
  <si>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</si>
  <si>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</si>
  <si>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</si>
  <si>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</si>
  <si>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</si>
  <si>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</si>
  <si>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</si>
  <si>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</si>
  <si>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</si>
  <si>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</si>
  <si>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</si>
  <si>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</si>
  <si>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</si>
  <si>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</si>
  <si>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</si>
  <si>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</si>
  <si>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</si>
  <si>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</si>
  <si>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</si>
  <si>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</si>
  <si>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</si>
  <si>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</si>
  <si>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</si>
  <si>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</si>
  <si>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</si>
  <si>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</si>
  <si>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</si>
  <si>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</si>
  <si>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</si>
  <si>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</si>
  <si>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</si>
  <si>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</si>
  <si>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</si>
  <si>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</si>
  <si>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</si>
  <si>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</si>
  <si>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</si>
  <si>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</si>
  <si>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</si>
  <si>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</si>
  <si>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</si>
  <si>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</si>
  <si>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</si>
  <si>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</si>
  <si>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</si>
  <si>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</si>
  <si>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</si>
  <si>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</si>
  <si>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</si>
  <si>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</si>
  <si>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</si>
  <si>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</si>
  <si>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</si>
  <si>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</si>
  <si>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</si>
  <si>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</si>
  <si>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</si>
  <si>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</si>
  <si>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</si>
  <si>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</si>
  <si>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</si>
  <si>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</si>
  <si>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</si>
  <si>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</si>
  <si>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</si>
  <si>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</si>
  <si>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</si>
  <si>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</si>
  <si>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</si>
  <si>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</si>
  <si>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</si>
  <si>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</si>
  <si>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</si>
  <si>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</si>
  <si>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</si>
  <si>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</si>
  <si>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</si>
  <si>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</si>
  <si>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</si>
  <si>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</si>
  <si>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</si>
  <si>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</si>
  <si>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</si>
  <si>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</si>
  <si>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</si>
  <si>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</si>
  <si>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</si>
  <si>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</si>
  <si>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</si>
  <si>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</si>
  <si>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</si>
  <si>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</si>
  <si>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</si>
  <si>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</si>
  <si>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</si>
  <si>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</si>
  <si>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</si>
  <si>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</si>
  <si>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</si>
  <si>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</si>
  <si>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</si>
  <si>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</si>
  <si>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</si>
  <si>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</si>
  <si>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</si>
  <si>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</si>
  <si>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</si>
  <si>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</si>
  <si>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</si>
  <si>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</si>
  <si>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</si>
  <si>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</si>
  <si>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</si>
  <si>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</si>
  <si>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</si>
  <si>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</si>
  <si>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</si>
  <si>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</si>
  <si>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</si>
  <si>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</si>
  <si>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</si>
  <si>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</si>
  <si>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</si>
  <si>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</si>
  <si>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</si>
  <si>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</si>
  <si>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</si>
  <si>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</si>
  <si>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</si>
  <si>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</si>
  <si>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</si>
  <si>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</si>
  <si>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</si>
  <si>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</si>
  <si>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</si>
  <si>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</si>
  <si>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</si>
  <si>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</si>
  <si>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</si>
  <si>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</si>
  <si>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</si>
  <si>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</si>
  <si>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</si>
  <si>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</si>
  <si>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</si>
  <si>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</si>
  <si>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</si>
  <si>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</si>
  <si>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</si>
  <si>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</si>
  <si>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</si>
  <si>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</si>
  <si>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</si>
  <si>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</si>
  <si>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</si>
  <si>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</si>
  <si>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</si>
  <si>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</si>
  <si>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</si>
  <si>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</si>
  <si>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</si>
  <si>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</si>
  <si>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</si>
  <si>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</si>
  <si>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</si>
  <si>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</si>
  <si>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</si>
  <si>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</si>
  <si>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</si>
  <si>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</si>
  <si>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</si>
  <si>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</si>
  <si>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</si>
  <si>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</si>
  <si>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</si>
  <si>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</si>
  <si>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</si>
  <si>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</si>
  <si>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</si>
  <si>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</si>
  <si>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</si>
  <si>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</si>
  <si>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</si>
  <si>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</si>
  <si>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</si>
  <si>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</si>
  <si>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</si>
  <si>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</si>
  <si>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</si>
  <si>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</si>
  <si>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</si>
  <si>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</si>
  <si>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</si>
  <si>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</si>
  <si>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</si>
  <si>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</si>
  <si>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</si>
  <si>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</si>
  <si>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</si>
  <si>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</si>
  <si>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</si>
  <si>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</si>
  <si>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</si>
  <si>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</si>
  <si>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</si>
  <si>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</si>
  <si>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</si>
  <si>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</si>
  <si>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</si>
  <si>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</si>
  <si>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</si>
  <si>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</si>
  <si>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</si>
  <si>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</si>
  <si>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</si>
  <si>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</si>
  <si>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</si>
  <si>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</si>
  <si>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</si>
  <si>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</si>
  <si>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</si>
  <si>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</si>
  <si>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</si>
  <si>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</si>
  <si>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</si>
  <si>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</si>
  <si>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</si>
  <si>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</si>
  <si>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</si>
  <si>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</si>
  <si>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</si>
  <si>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</si>
  <si>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</si>
  <si>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</si>
  <si>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</si>
  <si>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</si>
  <si>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</si>
  <si>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</si>
  <si>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</si>
  <si>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</si>
  <si>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</si>
  <si>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</si>
  <si>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</si>
  <si>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</si>
  <si>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</si>
  <si>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</si>
  <si>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</si>
  <si>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</si>
  <si>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</si>
  <si>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</si>
  <si>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</si>
  <si>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</si>
  <si>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</si>
  <si>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</si>
  <si>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</si>
  <si>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</si>
  <si>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</si>
  <si>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</si>
  <si>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</si>
  <si>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</si>
  <si>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</si>
  <si>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</si>
  <si>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</si>
  <si>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</si>
  <si>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</si>
  <si>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</si>
  <si>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</si>
  <si>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</si>
  <si>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</si>
  <si>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</si>
  <si>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</si>
  <si>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</si>
  <si>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</si>
  <si>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</si>
  <si>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</si>
  <si>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</si>
  <si>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</si>
  <si>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</si>
  <si>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</si>
  <si>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</si>
  <si>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</si>
  <si>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</si>
  <si>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</si>
  <si>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</si>
  <si>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</si>
  <si>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</si>
  <si>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</si>
  <si>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</si>
  <si>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</si>
  <si>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</si>
  <si>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</si>
  <si>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</si>
  <si>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</si>
  <si>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</si>
  <si>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</si>
  <si>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</si>
  <si>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</si>
  <si>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</si>
  <si>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</si>
  <si>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</si>
  <si>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</si>
  <si>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</si>
  <si>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</si>
  <si>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</si>
  <si>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</si>
  <si>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</si>
  <si>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</si>
  <si>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</si>
  <si>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</si>
  <si>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</si>
  <si>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</si>
  <si>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</si>
  <si>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</si>
  <si>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</si>
  <si>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</si>
  <si>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</si>
  <si>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</si>
  <si>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</si>
  <si>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</si>
  <si>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</si>
  <si>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</si>
  <si>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</si>
  <si>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</si>
  <si>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</si>
  <si>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</si>
  <si>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</si>
  <si>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</si>
  <si>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</si>
  <si>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</si>
  <si>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</si>
  <si>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</si>
  <si>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</si>
  <si>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</si>
  <si>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</si>
  <si>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</si>
  <si>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</si>
  <si>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</si>
  <si>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</si>
  <si>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</si>
  <si>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</si>
  <si>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</si>
  <si>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</si>
  <si>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</si>
  <si>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</si>
  <si>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</si>
  <si>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</si>
  <si>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</si>
  <si>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</si>
  <si>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</si>
  <si>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</si>
  <si>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</si>
  <si>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</si>
  <si>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</si>
  <si>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</si>
  <si>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</si>
  <si>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</si>
  <si>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</si>
  <si>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</si>
  <si>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</si>
  <si>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</si>
  <si>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</si>
  <si>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</si>
  <si>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</si>
  <si>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</si>
  <si>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</si>
  <si>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</si>
  <si>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</si>
  <si>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</si>
  <si>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</si>
  <si>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</si>
  <si>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</si>
  <si>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</si>
  <si>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</si>
  <si>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</si>
  <si>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</si>
  <si>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</si>
  <si>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</si>
  <si>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</si>
  <si>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</si>
  <si>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</si>
  <si>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</si>
  <si>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</si>
  <si>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</si>
  <si>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</si>
  <si>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</si>
  <si>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</si>
  <si>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</si>
  <si>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</si>
  <si>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</si>
  <si>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</si>
  <si>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</si>
  <si>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</si>
  <si>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</si>
  <si>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</si>
  <si>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</si>
  <si>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</si>
  <si>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</si>
  <si>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</si>
  <si>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</si>
  <si>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</si>
  <si>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</si>
  <si>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</si>
  <si>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</si>
  <si>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</si>
  <si>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</si>
  <si>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</si>
  <si>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</si>
  <si>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</si>
  <si>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</si>
  <si>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</si>
  <si>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</si>
  <si>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</si>
  <si>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</si>
  <si>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</si>
  <si>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</si>
  <si>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</si>
  <si>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</si>
  <si>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</si>
  <si>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</si>
  <si>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</si>
  <si>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</si>
  <si>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</si>
  <si>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</si>
  <si>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</si>
  <si>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</si>
  <si>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</si>
  <si>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</si>
  <si>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</si>
  <si>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</si>
  <si>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</si>
  <si>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</si>
  <si>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</si>
  <si>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</si>
  <si>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</si>
  <si>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</si>
  <si>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</si>
  <si>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</si>
  <si>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</si>
  <si>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</si>
  <si>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</si>
  <si>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</si>
  <si>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</si>
  <si>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</si>
  <si>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</si>
  <si>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</si>
  <si>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</si>
  <si>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</si>
  <si>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</si>
  <si>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</si>
  <si>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</si>
  <si>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</si>
  <si>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</si>
  <si>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</si>
  <si>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</si>
  <si>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</si>
  <si>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</si>
  <si>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</si>
  <si>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</si>
  <si>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</si>
  <si>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</si>
  <si>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</si>
  <si>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</si>
  <si>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</si>
  <si>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</si>
  <si>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</si>
  <si>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</si>
  <si>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</si>
  <si>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</si>
  <si>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</si>
  <si>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</si>
  <si>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</si>
  <si>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</si>
  <si>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</si>
  <si>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</si>
  <si>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</si>
  <si>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</si>
  <si>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</si>
  <si>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</si>
  <si>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</si>
  <si>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</si>
  <si>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</si>
  <si>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</si>
  <si>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</si>
  <si>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</si>
  <si>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</si>
  <si>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</si>
  <si>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</si>
  <si>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</si>
  <si>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</si>
  <si>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</si>
  <si>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</si>
  <si>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</si>
  <si>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</si>
  <si>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</si>
  <si>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</si>
  <si>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</si>
  <si>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</si>
  <si>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</si>
  <si>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</si>
  <si>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</si>
  <si>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</si>
  <si>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</si>
  <si>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</si>
  <si>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</si>
  <si>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</si>
  <si>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</si>
  <si>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</si>
  <si>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</si>
  <si>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</si>
  <si>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</si>
  <si>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</si>
  <si>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</si>
  <si>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</si>
  <si>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</si>
  <si>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</si>
  <si>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</si>
  <si>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</si>
  <si>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</si>
  <si>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</si>
  <si>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</si>
  <si>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</si>
  <si>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</si>
  <si>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</si>
  <si>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</si>
  <si>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</si>
  <si>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</si>
  <si>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</si>
  <si>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</si>
  <si>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</si>
  <si>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</si>
  <si>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</si>
  <si>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</si>
  <si>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</si>
  <si>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</si>
  <si>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</si>
  <si>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</si>
  <si>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</si>
  <si>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</si>
  <si>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</si>
  <si>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</si>
  <si>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</si>
  <si>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</si>
  <si>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</si>
  <si>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</si>
  <si>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</si>
  <si>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</si>
  <si>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</si>
  <si>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</si>
  <si>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</si>
  <si>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</si>
  <si>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</si>
  <si>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</si>
  <si>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</si>
  <si>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</si>
  <si>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</si>
  <si>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</si>
  <si>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</si>
  <si>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</si>
  <si>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</si>
  <si>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</si>
  <si>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</si>
  <si>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</si>
  <si>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</si>
  <si>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</si>
  <si>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</si>
  <si>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</si>
  <si>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</si>
  <si>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</si>
  <si>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</si>
  <si>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</si>
  <si>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</si>
  <si>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</si>
  <si>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</si>
  <si>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</si>
  <si>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</si>
  <si>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</si>
  <si>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</si>
  <si>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</si>
  <si>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</si>
  <si>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</si>
  <si>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</si>
  <si>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</si>
  <si>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</si>
  <si>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</si>
  <si>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</si>
  <si>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</si>
  <si>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</si>
  <si>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</si>
  <si>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</si>
  <si>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</si>
  <si>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</si>
  <si>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</si>
  <si>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</si>
  <si>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</si>
  <si>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</si>
  <si>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</si>
  <si>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</si>
  <si>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</si>
  <si>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</si>
  <si>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</si>
  <si>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</si>
  <si>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</si>
  <si>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</si>
  <si>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</si>
  <si>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</si>
  <si>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</si>
  <si>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</si>
  <si>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</si>
  <si>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</si>
  <si>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</si>
  <si>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</si>
  <si>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</si>
  <si>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</si>
  <si>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</si>
  <si>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</si>
  <si>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</si>
  <si>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</si>
  <si>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</si>
  <si>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</si>
  <si>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</si>
  <si>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</si>
  <si>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</si>
  <si>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</si>
  <si>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</si>
  <si>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</si>
  <si>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</si>
  <si>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</si>
  <si>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</si>
  <si>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</si>
  <si>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</si>
  <si>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</si>
  <si>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</si>
  <si>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</si>
  <si>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</si>
  <si>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</si>
  <si>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</si>
  <si>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</si>
  <si>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</si>
  <si>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</si>
  <si>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</si>
  <si>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</si>
  <si>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</si>
  <si>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</si>
  <si>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</si>
  <si>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</si>
  <si>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</si>
  <si>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</si>
  <si>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</si>
  <si>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</si>
  <si>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</si>
  <si>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</si>
  <si>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</si>
  <si>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</si>
  <si>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</si>
  <si>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</si>
  <si>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</si>
  <si>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</si>
  <si>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</si>
  <si>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</si>
  <si>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</si>
  <si>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</si>
  <si>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</si>
  <si>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</si>
  <si>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</si>
  <si>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</si>
  <si>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</si>
  <si>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</si>
  <si>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</si>
  <si>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</si>
  <si>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</si>
  <si>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</si>
  <si>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</si>
  <si>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</si>
  <si>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</si>
  <si>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</si>
  <si>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</si>
  <si>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</si>
  <si>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</si>
  <si>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</si>
  <si>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</si>
  <si>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</si>
  <si>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</si>
  <si>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</si>
  <si>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</si>
  <si>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</si>
  <si>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</si>
  <si>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</si>
  <si>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</si>
  <si>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</si>
  <si>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</si>
  <si>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</si>
  <si>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</si>
  <si>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</si>
  <si>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</si>
  <si>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</si>
  <si>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</si>
  <si>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</si>
  <si>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</si>
  <si>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</si>
  <si>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</si>
  <si>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</si>
  <si>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</si>
  <si>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</si>
  <si>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</si>
  <si>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</si>
  <si>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</si>
  <si>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</si>
  <si>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</si>
  <si>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</si>
  <si>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</si>
  <si>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</si>
  <si>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</si>
  <si>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</si>
  <si>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</si>
  <si>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</si>
  <si>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</si>
  <si>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</si>
  <si>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</si>
  <si>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</si>
  <si>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</si>
  <si>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</si>
  <si>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</si>
  <si>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</si>
  <si>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</si>
  <si>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</si>
  <si>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</si>
  <si>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</si>
  <si>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</si>
  <si>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</si>
  <si>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</si>
  <si>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</si>
  <si>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</si>
  <si>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</si>
  <si>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</si>
  <si>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</si>
  <si>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</si>
  <si>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</si>
  <si>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</si>
  <si>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</si>
  <si>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</si>
  <si>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</si>
  <si>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</si>
  <si>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</si>
  <si>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</si>
  <si>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</si>
  <si>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</si>
  <si>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</si>
  <si>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</si>
  <si>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</si>
  <si>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</si>
  <si>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</si>
  <si>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</si>
  <si>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</si>
  <si>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</si>
  <si>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</si>
  <si>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</si>
  <si>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</si>
  <si>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</si>
  <si>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</si>
  <si>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</si>
  <si>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</si>
  <si>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</si>
  <si>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</si>
  <si>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</si>
  <si>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</si>
  <si>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</si>
  <si>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</si>
  <si>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</si>
  <si>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</si>
  <si>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</si>
  <si>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</si>
  <si>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</si>
  <si>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</si>
  <si>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</si>
  <si>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</si>
  <si>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</si>
  <si>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</si>
  <si>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</si>
  <si>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</si>
  <si>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</si>
  <si>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</si>
  <si>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</si>
  <si>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</si>
  <si>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</si>
  <si>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</si>
  <si>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</si>
  <si>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</si>
  <si>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</si>
  <si>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</si>
  <si>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</si>
  <si>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</si>
  <si>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</si>
  <si>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</si>
  <si>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</si>
  <si>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</si>
  <si>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</si>
  <si>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</si>
  <si>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</si>
  <si>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</si>
  <si>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</si>
  <si>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</si>
  <si>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</si>
  <si>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</si>
  <si>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</si>
  <si>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</si>
  <si>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</si>
  <si>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</si>
  <si>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</si>
  <si>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</si>
  <si>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</si>
  <si>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</si>
  <si>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</si>
  <si>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</si>
  <si>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</si>
  <si>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</si>
  <si>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</si>
  <si>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</si>
  <si>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</si>
  <si>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</si>
  <si>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</si>
  <si>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</si>
  <si>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</si>
  <si>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</si>
  <si>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</si>
  <si>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</si>
  <si>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</si>
  <si>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</si>
  <si>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</si>
  <si>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</si>
  <si>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</si>
  <si>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</si>
  <si>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</si>
  <si>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</si>
  <si>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</si>
  <si>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</si>
  <si>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</si>
  <si>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</si>
  <si>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</si>
  <si>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</si>
  <si>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</si>
  <si>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</si>
  <si>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</si>
  <si>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</si>
  <si>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</si>
  <si>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</si>
  <si>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</si>
  <si>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</si>
  <si>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</si>
  <si>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</si>
  <si>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</si>
  <si>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</si>
  <si>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</si>
  <si>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</si>
  <si>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</si>
  <si>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</si>
  <si>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</si>
  <si>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</si>
  <si>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</si>
  <si>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</si>
  <si>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</si>
  <si>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</si>
  <si>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</si>
  <si>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</si>
  <si>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</si>
  <si>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</si>
  <si>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</si>
  <si>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</si>
  <si>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</si>
  <si>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</si>
  <si>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</si>
  <si>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</si>
  <si>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</si>
  <si>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</si>
  <si>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</si>
  <si>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</si>
  <si>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</si>
  <si>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</si>
  <si>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</si>
  <si>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</si>
  <si>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</si>
  <si>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</si>
  <si>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</si>
  <si>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</si>
  <si>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</si>
  <si>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</si>
  <si>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</si>
  <si>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</si>
  <si>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</si>
  <si>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</si>
  <si>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</si>
  <si>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</si>
  <si>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</si>
  <si>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</si>
  <si>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</si>
  <si>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</si>
  <si>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</si>
  <si>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</si>
  <si>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</si>
  <si>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</si>
  <si>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</si>
  <si>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</si>
  <si>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</si>
  <si>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</si>
  <si>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</si>
  <si>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</si>
  <si>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</si>
  <si>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</si>
  <si>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</si>
  <si>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</si>
  <si>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</si>
  <si>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</si>
  <si>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</si>
  <si>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</si>
  <si>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</si>
  <si>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</si>
  <si>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</si>
  <si>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</si>
  <si>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</si>
  <si>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</si>
  <si>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</si>
  <si>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</si>
  <si>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</si>
  <si>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</si>
  <si>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</si>
  <si>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</si>
  <si>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</si>
  <si>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</si>
  <si>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</si>
  <si>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</si>
  <si>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</si>
  <si>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</si>
  <si>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</si>
  <si>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</si>
  <si>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</si>
  <si>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</si>
  <si>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</si>
  <si>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</si>
  <si>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</si>
  <si>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</si>
  <si>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</si>
  <si>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</si>
  <si>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</si>
  <si>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</si>
  <si>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</si>
  <si>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</si>
  <si>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</si>
  <si>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</si>
  <si>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</si>
  <si>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</si>
  <si>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</si>
  <si>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</si>
  <si>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</si>
  <si>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</si>
  <si>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</si>
  <si>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</si>
  <si>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</si>
  <si>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</si>
  <si>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</si>
  <si>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</si>
  <si>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</si>
  <si>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</si>
  <si>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</si>
  <si>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</si>
  <si>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</si>
  <si>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</si>
  <si>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</si>
  <si>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</si>
  <si>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</si>
  <si>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</si>
  <si>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</si>
  <si>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</si>
  <si>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</si>
  <si>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</si>
  <si>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</si>
  <si>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</si>
  <si>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</si>
  <si>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</si>
  <si>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</si>
  <si>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</si>
  <si>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</si>
  <si>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</si>
  <si>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</si>
  <si>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</si>
  <si>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</si>
  <si>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</si>
  <si>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</si>
  <si>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</si>
  <si>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</si>
  <si>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</si>
  <si>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</si>
  <si>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</si>
  <si>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</si>
  <si>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</si>
  <si>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</si>
  <si>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</si>
  <si>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</si>
  <si>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</si>
  <si>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</si>
  <si>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</si>
  <si>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</si>
  <si>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</si>
  <si>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</si>
  <si>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</si>
  <si>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</si>
  <si>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</si>
  <si>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</si>
  <si>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</si>
  <si>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</si>
  <si>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</si>
  <si>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</si>
  <si>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</si>
  <si>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</si>
  <si>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</si>
  <si>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</si>
  <si>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</si>
  <si>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</si>
  <si>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</si>
  <si>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</si>
  <si>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</si>
  <si>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</si>
  <si>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</si>
  <si>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</si>
  <si>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</si>
  <si>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</si>
  <si>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</si>
  <si>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</si>
  <si>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</si>
  <si>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</si>
  <si>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</si>
  <si>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</si>
  <si>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</si>
  <si>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</si>
  <si>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</si>
  <si>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</si>
  <si>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</si>
  <si>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</si>
  <si>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</si>
  <si>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</si>
  <si>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</si>
  <si>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</si>
  <si>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</si>
  <si>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</si>
  <si>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</si>
  <si>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</si>
  <si>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</si>
  <si>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</si>
  <si>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</si>
  <si>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</si>
  <si>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</si>
  <si>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</si>
  <si>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</si>
  <si>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</si>
  <si>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</si>
  <si>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</si>
  <si>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</si>
  <si>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</si>
  <si>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</si>
  <si>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</si>
  <si>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</si>
  <si>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</si>
  <si>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</si>
  <si>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</si>
  <si>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</si>
  <si>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</si>
  <si>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</si>
  <si>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</si>
  <si>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</si>
  <si>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</si>
  <si>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</si>
  <si>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</si>
  <si>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</si>
  <si>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</si>
  <si>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</si>
  <si>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</si>
  <si>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</si>
  <si>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</si>
  <si>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</si>
  <si>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</si>
  <si>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</si>
  <si>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</si>
  <si>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</si>
  <si>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</si>
  <si>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</si>
  <si>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</si>
  <si>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</si>
  <si>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</si>
  <si>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</si>
  <si>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</si>
  <si>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</si>
  <si>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</si>
  <si>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</si>
  <si>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</si>
  <si>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</si>
  <si>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</si>
  <si>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</si>
  <si>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</si>
  <si>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</si>
  <si>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</si>
  <si>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</si>
  <si>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</si>
  <si>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</si>
  <si>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</si>
  <si>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</si>
  <si>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</si>
  <si>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</si>
  <si>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</si>
  <si>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</si>
  <si>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</si>
  <si>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</si>
  <si>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</si>
  <si>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</si>
  <si>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</si>
  <si>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</si>
  <si>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</si>
  <si>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</si>
  <si>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</si>
  <si>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</si>
  <si>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</si>
  <si>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</si>
  <si>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</si>
  <si>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</si>
  <si>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</si>
  <si>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</si>
  <si>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</si>
  <si>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</si>
  <si>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</si>
  <si>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</si>
  <si>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</si>
  <si>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</si>
  <si>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</si>
  <si>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</si>
  <si>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</si>
  <si>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</si>
  <si>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</si>
  <si>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</si>
  <si>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</si>
  <si>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</si>
  <si>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</si>
  <si>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</si>
  <si>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</si>
  <si>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</si>
  <si>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</si>
  <si>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</si>
  <si>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</si>
  <si>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</si>
  <si>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</si>
  <si>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</si>
  <si>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</si>
  <si>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</si>
  <si>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</si>
  <si>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</si>
  <si>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</si>
  <si>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</si>
  <si>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</si>
  <si>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</si>
  <si>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</si>
  <si>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</si>
  <si>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</si>
  <si>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</si>
  <si>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</si>
  <si>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</si>
  <si>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</si>
  <si>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</si>
  <si>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</si>
  <si>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</si>
  <si>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</si>
  <si>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</si>
  <si>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</si>
  <si>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</si>
  <si>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</si>
  <si>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</si>
  <si>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</si>
  <si>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</si>
  <si>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</si>
  <si>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</si>
  <si>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</si>
  <si>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</si>
  <si>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</si>
  <si>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</si>
  <si>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</si>
  <si>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</si>
  <si>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</si>
  <si>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</si>
  <si>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</si>
  <si>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</si>
  <si>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</si>
  <si>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</si>
  <si>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</si>
  <si>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</si>
  <si>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</si>
  <si>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</si>
  <si>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</si>
  <si>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</si>
  <si>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</si>
  <si>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</si>
  <si>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</si>
  <si>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</si>
  <si>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</si>
  <si>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</si>
  <si>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</si>
  <si>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</si>
  <si>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</si>
  <si>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</si>
  <si>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</si>
  <si>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</si>
  <si>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</si>
  <si>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</si>
  <si>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</si>
  <si>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</si>
  <si>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</si>
  <si>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</si>
  <si>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</si>
  <si>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</si>
  <si>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</si>
  <si>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</si>
  <si>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</si>
  <si>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</si>
  <si>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</si>
  <si>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</si>
  <si>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</si>
  <si>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</si>
  <si>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</si>
  <si>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</si>
  <si>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</si>
  <si>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</si>
  <si>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</si>
  <si>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</si>
  <si>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</si>
  <si>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</si>
  <si>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</si>
  <si>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</si>
  <si>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</si>
  <si>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</si>
  <si>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</si>
  <si>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</si>
  <si>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</si>
  <si>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</si>
  <si>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</si>
  <si>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</si>
  <si>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</si>
  <si>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</si>
  <si>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</si>
  <si>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</si>
  <si>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</si>
  <si>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</si>
  <si>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</si>
  <si>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</si>
  <si>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</si>
  <si>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</si>
  <si>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</si>
  <si>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</si>
  <si>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</si>
  <si>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</si>
  <si>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</si>
  <si>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</si>
  <si>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</si>
  <si>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</si>
  <si>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</si>
  <si>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</si>
  <si>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</si>
  <si>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</si>
  <si>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</si>
  <si>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</si>
  <si>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</si>
  <si>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</si>
  <si>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</si>
  <si>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</si>
  <si>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</si>
  <si>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</si>
  <si>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</si>
  <si>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</si>
  <si>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</si>
  <si>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</si>
  <si>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</si>
  <si>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</si>
  <si>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</si>
  <si>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</si>
  <si>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</si>
  <si>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</si>
  <si>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</si>
  <si>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</si>
  <si>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</si>
  <si>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</si>
  <si>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</si>
  <si>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</si>
  <si>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</si>
  <si>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</si>
  <si>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</si>
  <si>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</si>
  <si>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</si>
  <si>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</si>
  <si>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</si>
  <si>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</si>
  <si>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</si>
  <si>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</si>
  <si>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</si>
  <si>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</si>
  <si>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</si>
  <si>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</si>
  <si>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</si>
  <si>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</si>
  <si>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</si>
  <si>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</si>
  <si>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</si>
  <si>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</si>
  <si>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</si>
  <si>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</si>
  <si>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</si>
  <si>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</si>
  <si>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</si>
  <si>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</si>
  <si>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</si>
  <si>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</si>
  <si>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</si>
  <si>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</si>
  <si>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</si>
  <si>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</si>
  <si>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</si>
  <si>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</si>
  <si>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</si>
  <si>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</si>
  <si>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</si>
  <si>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</si>
  <si>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</si>
  <si>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</si>
  <si>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</si>
  <si>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</si>
  <si>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</si>
  <si>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</si>
  <si>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</si>
  <si>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</si>
  <si>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</si>
  <si>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</si>
  <si>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</si>
  <si>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</si>
  <si>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</si>
  <si>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</si>
  <si>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</si>
  <si>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</si>
  <si>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</si>
  <si>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</si>
  <si>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</si>
  <si>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</si>
  <si>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</si>
  <si>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</si>
  <si>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</si>
  <si>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</si>
  <si>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</si>
  <si>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</si>
  <si>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</si>
  <si>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</si>
  <si>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</si>
  <si>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</si>
  <si>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</si>
  <si>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</si>
  <si>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</si>
  <si>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</si>
  <si>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</si>
  <si>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</si>
  <si>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</si>
  <si>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</si>
  <si>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</si>
  <si>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</si>
  <si>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</si>
  <si>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</si>
  <si>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</si>
  <si>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</si>
  <si>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</si>
  <si>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</si>
  <si>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</si>
  <si>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</si>
  <si>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</si>
  <si>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</si>
  <si>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</si>
  <si>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</si>
  <si>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</si>
  <si>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</si>
  <si>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</si>
  <si>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</si>
  <si>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</si>
  <si>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</si>
  <si>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</si>
  <si>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</si>
  <si>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</si>
  <si>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</si>
  <si>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</si>
  <si>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</si>
  <si>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</si>
  <si>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</si>
  <si>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</si>
  <si>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</si>
  <si>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</si>
  <si>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</si>
  <si>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</si>
  <si>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</si>
  <si>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 No</t>
  </si>
  <si>
    <t>Row Labels</t>
  </si>
  <si>
    <t>Avg Weight</t>
  </si>
  <si>
    <t>Fruits And Vegetables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</si>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</sst>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1"/>
      <tableStyleElement type="headerRow" dxfId="0"/>
    </tableStyle>
  </tableStyles>
  <colors>
    <mruColors>
      <color rgb="FF00B050"/>
      <color rgb="FFFDE113"/>
      <color rgb="FFFFD200"/>
      <color rgb="FF99CE3A"/>
      <color rgb="FF97B751"/>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[Blinkit.xlsx]Pivot1-Outlet Type!PivotTable2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Outlet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'Pivot1-Outlet Type'!$B$3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'Pivot1-Outlet Type'!$A$4:$A$8</c:f>
              <c:strCache>
                <c:ptCount val="4"/>
                <c:pt idx="0">
                  <c:v>Grocery Store</c:v>
                </c:pt>
                <c:pt idx="1">
                  <c:v>Supermarket Type1</c:v>
                </c:pt>
                <c:pt idx="2">
                  <c:v>Supermarket Type2</c:v>
                </c:pt>
                <c:pt idx="3">
                  <c:v>Supermarket Type3</c:v>
                </c:pt>
              </c:strCache>
            </c:strRef>
          </c:cat>
          <c:val>
            <c:numRef>
              <c:f>'Pivot1-Outlet Type'!$B$4:$B$8</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3A65-405B-B28F-3382759FF1B8}"/>
            </c:ext>
          </c:extLst>
        </c:ser>
        <c:dLbls>
          <c:dLblPos val="outEnd"/>
          <c:showLegendKey val="0"/>
          <c:showVal val="1"/>
          <c:showCatName val="0"/>
          <c:showSerName val="0"/>
          <c:showPercent val="0"/>
          <c:showBubbleSize val="0"/>
        </c:dLbls>
        <c:gapWidth val="219"/>
        <c:overlap val="-27"/>
        <c:axId val="1729679488"/>
        <c:axId val="1918006208"/>
      </c:barChart>
      <c:catAx>
        <c:axId val="172967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Outlet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06208"/>
        <c:crosses val="autoZero"/>
        <c:auto val="1"/>
        <c:lblAlgn val="ctr"/>
        <c:lblOffset val="100"/>
        <c:noMultiLvlLbl val="0"/>
      </c:catAx>
      <c:valAx>
        <c:axId val="191800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7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[Blinkit.xlsx]Pivot2-Fat Content!PivotTable3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Share By Fat Content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pivotFmt>
      <c:pivotFmt>
        <c:idx val="2"/>
        <c:spPr>
          <a:solidFill>
            <a:srgbClr val="FFD2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'Pivot2-Fat Content'!$B$3</c:f>
              <c:strCache>
                <c:ptCount val="1"/>
                <c:pt idx="0">
                  <c:v>Total</c:v>
                </c:pt>
              </c:strCache>
            </c:strRef>
          </c:tx>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4D1-4C24-99C8-AE8D1750AFDD}"/>
              </c:ext>
            </c:extLst>
          </c:dPt>
          <c:dPt>
            <c:idx val="1"/>
            <c:bubble3D val="0"/>
            <c:spPr>
              <a:solidFill>
                <a:srgbClr val="FFD2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D1-4C24-99C8-AE8D1750AFD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'Pivot2-Fat Content'!$A$4:$A$6</c:f>
              <c:strCache>
                <c:ptCount val="2"/>
                <c:pt idx="0">
                  <c:v>Low Fat</c:v>
                </c:pt>
                <c:pt idx="1">
                  <c:v>Regular</c:v>
                </c:pt>
              </c:strCache>
            </c:strRef>
          </c:cat>
          <c:val>
            <c:numRef>
              <c:f>'Pivot2-Fat Content'!$B$4:$B$6</c:f>
              <c:numCache>
                <c:formatCode>General</c:formatCode>
                <c:ptCount val="2"/>
                <c:pt idx="0">
                  <c:v>776319.68840000057</c:v>
                </c:pt>
                <c:pt idx="1">
                  <c:v>425361.8043999995</c:v>
                </c:pt>
              </c:numCache>
            </c:numRef>
          </c:val>
          <c:extLst>
            <c:ext xmlns:c16="http://schemas.microsoft.com/office/drawing/2014/chart" uri="{C3380CC4-5D6E-409C-BE32-E72D297353CC}">
              <c16:uniqueId val="{00000000-64D1-4C24-99C8-AE8D1750AFDD}"/>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[Blinkit.xlsx]Pivot3 -Year 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By Outlet Establishment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'Pivot3 -Year Trend'!$B$3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'Pivot3 -Year Trend'!$A$4:$A$13</c:f>
              <c:strCache>
                <c:ptCount val="9"/>
                <c:pt idx="0">
                  <c:v>2011</c:v>
                </c:pt>
                <c:pt idx="1">
                  <c:v>2012</c:v>
                </c:pt>
                <c:pt idx="2">
                  <c:v>2014</c:v>
                </c:pt>
                <c:pt idx="3">
                  <c:v>2015</c:v>
                </c:pt>
                <c:pt idx="4">
                  <c:v>2016</c:v>
                </c:pt>
                <c:pt idx="5">
                  <c:v>2017</c:v>
                </c:pt>
                <c:pt idx="6">
                  <c:v>2018</c:v>
                </c:pt>
                <c:pt idx="7">
                  <c:v>2020</c:v>
                </c:pt>
                <c:pt idx="8">
                  <c:v>2022</c:v>
                </c:pt>
              </c:strCache>
            </c:strRef>
          </c:cat>
          <c:val>
            <c:numRef>
              <c:f>'Pivot3 -Year Trend'!$B$4:$B$13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7097-423B-9F48-8625B632A6BD}"/>
            </c:ext>
          </c:extLst>
        </c:ser>
        <c:dLbls>
          <c:showLegendKey val="0"/>
          <c:showVal val="0"/>
          <c:showCatName val="0"/>
          <c:showSerName val="0"/>
          <c:showPercent val="0"/>
          <c:showBubbleSize val="0"/>
        </c:dLbls>
        <c:marker val="1"/>
        <c:smooth val="0"/>
        <c:axId val="1968857824"/>
        <c:axId val="1918032608"/>
      </c:lineChart>
      <c:catAx>
        <c:axId val="196885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Outlet Establishment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32608"/>
        <c:crosses val="autoZero"/>
        <c:auto val="1"/>
        <c:lblAlgn val="ctr"/>
        <c:lblOffset val="100"/>
        <c:noMultiLvlLbl val="0"/>
      </c:catAx>
      <c:valAx>
        <c:axId val="191803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85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[Blinkit.xlsx]Pivot4-Item Type!PivotTable5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Item Type</a:t>
            </a:r>
          </a:p>
        </c:rich>
      </c:tx>
      <c:layout>
        <c:manualLayout>
          <c:xMode val="edge"/>
          <c:yMode val="edge"/>
          <c:x val="0.533124890638670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'Pivot4-Item Type'!$B$3</c:f>
              <c:strCache>
                <c:ptCount val="1"/>
                <c:pt idx="0">
                  <c:v>Total</c:v>
                </c:pt>
              </c:strCache>
            </c:strRef>
          </c:tx>
          <c:spPr>
            <a:solidFill>
              <a:schemeClr val="accent6"/>
            </a:solidFill>
            <a:ln>
              <a:noFill/>
            </a:ln>
            <a:effectLst/>
          </c:spPr>
          <c:invertIfNegative val="0"/>
          <c:cat>
            <c:strRef>
              <c:f>'Pivot4-Item 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'Pivot4-Item Type'!$B$4:$B$20</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B935-41D0-8B92-EC28E1956878}"/>
            </c:ext>
          </c:extLst>
        </c:ser>
        <c:dLbls>
          <c:showLegendKey val="0"/>
          <c:showVal val="0"/>
          <c:showCatName val="0"/>
          <c:showSerName val="0"/>
          <c:showPercent val="0"/>
          <c:showBubbleSize val="0"/>
        </c:dLbls>
        <c:gapWidth val="182"/>
        <c:axId val="1767424864"/>
        <c:axId val="1917975488"/>
      </c:barChart>
      <c:catAx>
        <c:axId val="1767424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975488"/>
        <c:crosses val="autoZero"/>
        <c:auto val="1"/>
        <c:lblAlgn val="ctr"/>
        <c:lblOffset val="100"/>
        <c:noMultiLvlLbl val="0"/>
      </c:catAx>
      <c:valAx>
        <c:axId val="191797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2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[Blinkit.xlsx]Pivot5-Outlet Size!PivotTable6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doughnutChart>
        <c:varyColors val="1"/>
        <c:ser>
          <c:idx val="0"/>
          <c:order val="0"/>
          <c:tx>
            <c:strRef>
              <c:f>'Pivot5-Outlet Size'!$B$3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1F2-4C2F-821E-8CC7849452B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1F2-4C2F-821E-8CC7849452B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1F2-4C2F-821E-8CC7849452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'Pivot5-Outlet Size'!$A$4:$A$7</c:f>
              <c:strCache>
                <c:ptCount val="3"/>
                <c:pt idx="0">
                  <c:v>High</c:v>
                </c:pt>
                <c:pt idx="1">
                  <c:v>Medium</c:v>
                </c:pt>
                <c:pt idx="2">
                  <c:v>Small</c:v>
                </c:pt>
              </c:strCache>
            </c:strRef>
          </c:cat>
          <c:val>
            <c:numRef>
              <c:f>'Pivot5-Outlet Size'!$B$4:$B$7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483-4191-9D03-D2ED67AED03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[Blinkit.xlsx]Pivot1-Outlet Type!PivotTable2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Outlet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'Pivot1-Outlet Type'!$B$3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'Pivot1-Outlet Type'!$A$4:$A$8</c:f>
              <c:strCache>
                <c:ptCount val="4"/>
                <c:pt idx="0">
                  <c:v>Grocery Store</c:v>
                </c:pt>
                <c:pt idx="1">
                  <c:v>Supermarket Type1</c:v>
                </c:pt>
                <c:pt idx="2">
                  <c:v>Supermarket Type2</c:v>
                </c:pt>
                <c:pt idx="3">
                  <c:v>Supermarket Type3</c:v>
                </c:pt>
              </c:strCache>
            </c:strRef>
          </c:cat>
          <c:val>
            <c:numRef>
              <c:f>'Pivot1-Outlet Type'!$B$4:$B$8</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2578-45A0-BE9D-9F79DEAADF69}"/>
            </c:ext>
          </c:extLst>
        </c:ser>
        <c:dLbls>
          <c:dLblPos val="outEnd"/>
          <c:showLegendKey val="0"/>
          <c:showVal val="1"/>
          <c:showCatName val="0"/>
          <c:showSerName val="0"/>
          <c:showPercent val="0"/>
          <c:showBubbleSize val="0"/>
        </c:dLbls>
        <c:gapWidth val="219"/>
        <c:overlap val="-27"/>
        <c:axId val="1729679488"/>
        <c:axId val="1918006208"/>
      </c:barChart>
      <c:catAx>
        <c:axId val="172967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Outlet</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06208"/>
        <c:crosses val="autoZero"/>
        <c:auto val="1"/>
        <c:lblAlgn val="ctr"/>
        <c:lblOffset val="100"/>
        <c:noMultiLvlLbl val="0"/>
      </c:catAx>
      <c:valAx>
        <c:axId val="191800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7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[Blinkit.xlsx]Pivot2-Fat Content!PivotTable3</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Share By Fat Content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pivotFmt>
      <c:pivotFmt>
        <c:idx val="2"/>
        <c:spPr>
          <a:solidFill>
            <a:srgbClr val="FFD200"/>
          </a:soli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pivotFmt>
      <c:pivotFmt>
        <c:idx val="5"/>
        <c:spPr>
          <a:solidFill>
            <a:srgbClr val="FFD200"/>
          </a:soli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50"/>
          </a:solidFill>
          <a:ln>
            <a:noFill/>
          </a:ln>
          <a:effectLst>
            <a:outerShdw blurRad="57150" dist="19050" dir="5400000" algn="ctr" rotWithShape="0">
              <a:srgbClr val="000000">
                <a:alpha val="63000"/>
              </a:srgbClr>
            </a:outerShdw>
          </a:effectLst>
        </c:spPr>
      </c:pivotFmt>
      <c:pivotFmt>
        <c:idx val="8"/>
        <c:spPr>
          <a:solidFill>
            <a:srgbClr val="FFD2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5397355834499474E-2"/>
          <c:y val="0.18792224068877206"/>
          <c:w val="0.58008082875582201"/>
          <c:h val="0.75671443751192002"/>
        </c:manualLayout>
      </c:layout>
      <c:pieChart>
        <c:varyColors val="1"/>
        <c:ser>
          <c:idx val="0"/>
          <c:order val="0"/>
          <c:tx>
            <c:strRef>
              <c:f>'Pivot2-Fat Content'!$B$3</c:f>
              <c:strCache>
                <c:ptCount val="1"/>
                <c:pt idx="0">
                  <c:v>Total</c:v>
                </c:pt>
              </c:strCache>
            </c:strRef>
          </c:tx>
          <c:dPt>
            <c:idx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F7-4C61-B19B-FCCFF88D56E6}"/>
              </c:ext>
            </c:extLst>
          </c:dPt>
          <c:dPt>
            <c:idx val="1"/>
            <c:bubble3D val="0"/>
            <c:spPr>
              <a:solidFill>
                <a:srgbClr val="FFD2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F7-4C61-B19B-FCCFF88D56E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'Pivot2-Fat Content'!$A$4:$A$6</c:f>
              <c:strCache>
                <c:ptCount val="2"/>
                <c:pt idx="0">
                  <c:v>Low Fat</c:v>
                </c:pt>
                <c:pt idx="1">
                  <c:v>Regular</c:v>
                </c:pt>
              </c:strCache>
            </c:strRef>
          </c:cat>
          <c:val>
            <c:numRef>
              <c:f>'Pivot2-Fat Content'!$B$4:$B$6</c:f>
              <c:numCache>
                <c:formatCode>General</c:formatCode>
                <c:ptCount val="2"/>
                <c:pt idx="0">
                  <c:v>776319.68840000057</c:v>
                </c:pt>
                <c:pt idx="1">
                  <c:v>425361.8043999995</c:v>
                </c:pt>
              </c:numCache>
            </c:numRef>
          </c:val>
          <c:extLst>
            <c:ext xmlns:c16="http://schemas.microsoft.com/office/drawing/2014/chart" uri="{C3380CC4-5D6E-409C-BE32-E72D297353CC}">
              <c16:uniqueId val="{00000004-EFF7-4C61-B19B-FCCFF88D56E6}"/>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[Blinkit.xlsx]Pivot5-Outlet Size!PivotTable6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doughnutChart>
        <c:varyColors val="1"/>
        <c:ser>
          <c:idx val="0"/>
          <c:order val="0"/>
          <c:tx>
            <c:strRef>
              <c:f>'Pivot5-Outlet Size'!$B$3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39C-4ED7-A134-4810D1208AD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39C-4ED7-A134-4810D1208AD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39C-4ED7-A134-4810D1208AD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'Pivot5-Outlet Size'!$A$4:$A$7</c:f>
              <c:strCache>
                <c:ptCount val="3"/>
                <c:pt idx="0">
                  <c:v>High</c:v>
                </c:pt>
                <c:pt idx="1">
                  <c:v>Medium</c:v>
                </c:pt>
                <c:pt idx="2">
                  <c:v>Small</c:v>
                </c:pt>
              </c:strCache>
            </c:strRef>
          </c:cat>
          <c:val>
            <c:numRef>
              <c:f>'Pivot5-Outlet Size'!$B$4:$B$7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39C-4ED7-A134-4810D1208AD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[Blinkit.xlsx]Pivot3 -Year Trend!PivotTable4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By Outlet Establishment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'Pivot3 -Year Trend'!$B$3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'Pivot3 -Year Trend'!$A$4:$A$13</c:f>
              <c:strCache>
                <c:ptCount val="9"/>
                <c:pt idx="0">
                  <c:v>2011</c:v>
                </c:pt>
                <c:pt idx="1">
                  <c:v>2012</c:v>
                </c:pt>
                <c:pt idx="2">
                  <c:v>2014</c:v>
                </c:pt>
                <c:pt idx="3">
                  <c:v>2015</c:v>
                </c:pt>
                <c:pt idx="4">
                  <c:v>2016</c:v>
                </c:pt>
                <c:pt idx="5">
                  <c:v>2017</c:v>
                </c:pt>
                <c:pt idx="6">
                  <c:v>2018</c:v>
                </c:pt>
                <c:pt idx="7">
                  <c:v>2020</c:v>
                </c:pt>
                <c:pt idx="8">
                  <c:v>2022</c:v>
                </c:pt>
              </c:strCache>
            </c:strRef>
          </c:cat>
          <c:val>
            <c:numRef>
              <c:f>'Pivot3 -Year Trend'!$B$4:$B$13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0215-4DF9-9D31-A28C4EC66E5C}"/>
            </c:ext>
          </c:extLst>
        </c:ser>
        <c:dLbls>
          <c:showLegendKey val="0"/>
          <c:showVal val="0"/>
          <c:showCatName val="0"/>
          <c:showSerName val="0"/>
          <c:showPercent val="0"/>
          <c:showBubbleSize val="0"/>
        </c:dLbls>
        <c:marker val="1"/>
        <c:smooth val="0"/>
        <c:axId val="1968857824"/>
        <c:axId val="1918032608"/>
      </c:lineChart>
      <c:catAx>
        <c:axId val="196885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Outlet Establishment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32608"/>
        <c:crosses val="autoZero"/>
        <c:auto val="1"/>
        <c:lblAlgn val="ctr"/>
        <c:lblOffset val="100"/>
        <c:noMultiLvlLbl val="0"/>
      </c:catAx>
      <c:valAx>
        <c:axId val="191803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85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[Blinkit.xlsx]Pivot4-Item Type!PivotTable5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Item Type</a:t>
            </a:r>
          </a:p>
        </c:rich>
      </c:tx>
      <c:layout>
        <c:manualLayout>
          <c:xMode val="edge"/>
          <c:yMode val="edge"/>
          <c:x val="0.533124890638670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'Pivot4-Item Type'!$B$3</c:f>
              <c:strCache>
                <c:ptCount val="1"/>
                <c:pt idx="0">
                  <c:v>Total</c:v>
                </c:pt>
              </c:strCache>
            </c:strRef>
          </c:tx>
          <c:spPr>
            <a:solidFill>
              <a:schemeClr val="accent6"/>
            </a:solidFill>
            <a:ln>
              <a:noFill/>
            </a:ln>
            <a:effectLst/>
          </c:spPr>
          <c:invertIfNegative val="0"/>
          <c:cat>
            <c:strRef>
              <c:f>'Pivot4-Item 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'Pivot4-Item Type'!$B$4:$B$20</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2326-4AAB-9898-E84991389C8D}"/>
            </c:ext>
          </c:extLst>
        </c:ser>
        <c:dLbls>
          <c:showLegendKey val="0"/>
          <c:showVal val="0"/>
          <c:showCatName val="0"/>
          <c:showSerName val="0"/>
          <c:showPercent val="0"/>
          <c:showBubbleSize val="0"/>
        </c:dLbls>
        <c:gapWidth val="182"/>
        <c:axId val="1767424864"/>
        <c:axId val="1917975488"/>
      </c:barChart>
      <c:catAx>
        <c:axId val="1767424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975488"/>
        <c:crosses val="autoZero"/>
        <c:auto val="1"/>
        <c:lblAlgn val="ctr"/>
        <c:lblOffset val="100"/>
        <c:noMultiLvlLbl val="0"/>
      </c:catAx>
      <c:valAx>
        <c:axId val="191797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2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Blinkit Grocery Data'!A1"/><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image" Target="../media/image4.svg"/><Relationship Id="rId4" Type="http://schemas.openxmlformats.org/officeDocument/2006/relationships/chart" Target="../charts/chart7.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217170</xdr:colOff>
      <xdr:row>1</xdr:row>
      <xdr:rowOff>49530</xdr:rowOff>
    </xdr:from>
    <xdr:to>
      <xdr:col>10</xdr:col>
      <xdr:colOff>95250</xdr:colOff>
      <xdr:row>15</xdr:row>
      <xdr:rowOff>19050</xdr:rowOff>
    </xdr:to>
    <xdr:graphicFrame macro="">
      <xdr:nvGraphicFramePr>
        <xdr:cNvPr id="2" name="Chart 1">
          <a:extLst>
            <a:ext uri="{FF2B5EF4-FFF2-40B4-BE49-F238E27FC236}">
              <a16:creationId xmlns:a16="http://schemas.microsoft.com/office/drawing/2014/main" id="{B6036EE2-8016-E28B-C9AF-D0FDB0191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194310</xdr:colOff>
      <xdr:row>1</xdr:row>
      <xdr:rowOff>11430</xdr:rowOff>
    </xdr:from>
    <xdr:to>
      <xdr:col>10</xdr:col>
      <xdr:colOff>72390</xdr:colOff>
      <xdr:row>14</xdr:row>
      <xdr:rowOff>179070</xdr:rowOff>
    </xdr:to>
    <xdr:graphicFrame macro="">
      <xdr:nvGraphicFramePr>
        <xdr:cNvPr id="2" name="Chart 1">
          <a:extLst>
            <a:ext uri="{FF2B5EF4-FFF2-40B4-BE49-F238E27FC236}">
              <a16:creationId xmlns:a16="http://schemas.microsoft.com/office/drawing/2014/main" id="{A95E574B-01EF-A7FD-EB45-3F92D6EC3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392430</xdr:colOff>
      <xdr:row>1</xdr:row>
      <xdr:rowOff>125730</xdr:rowOff>
    </xdr:from>
    <xdr:to>
      <xdr:col>10</xdr:col>
      <xdr:colOff>270510</xdr:colOff>
      <xdr:row>15</xdr:row>
      <xdr:rowOff>95250</xdr:rowOff>
    </xdr:to>
    <xdr:graphicFrame macro="">
      <xdr:nvGraphicFramePr>
        <xdr:cNvPr id="3" name="Chart 2">
          <a:extLst>
            <a:ext uri="{FF2B5EF4-FFF2-40B4-BE49-F238E27FC236}">
              <a16:creationId xmlns:a16="http://schemas.microsoft.com/office/drawing/2014/main" id="{9CA116D7-1385-B9D0-3593-13C45A540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567690</xdr:colOff>
      <xdr:row>2</xdr:row>
      <xdr:rowOff>57150</xdr:rowOff>
    </xdr:from>
    <xdr:to>
      <xdr:col>10</xdr:col>
      <xdr:colOff>30480</xdr:colOff>
      <xdr:row>16</xdr:row>
      <xdr:rowOff>26670</xdr:rowOff>
    </xdr:to>
    <xdr:graphicFrame macro="">
      <xdr:nvGraphicFramePr>
        <xdr:cNvPr id="2" name="Chart 1">
          <a:extLst>
            <a:ext uri="{FF2B5EF4-FFF2-40B4-BE49-F238E27FC236}">
              <a16:creationId xmlns:a16="http://schemas.microsoft.com/office/drawing/2014/main" id="{D276BD61-D8DB-A21E-872C-73D468393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102870</xdr:colOff>
      <xdr:row>1</xdr:row>
      <xdr:rowOff>125730</xdr:rowOff>
    </xdr:from>
    <xdr:to>
      <xdr:col>9</xdr:col>
      <xdr:colOff>651510</xdr:colOff>
      <xdr:row>15</xdr:row>
      <xdr:rowOff>95250</xdr:rowOff>
    </xdr:to>
    <xdr:graphicFrame macro="">
      <xdr:nvGraphicFramePr>
        <xdr:cNvPr id="2" name="Chart 1">
          <a:extLst>
            <a:ext uri="{FF2B5EF4-FFF2-40B4-BE49-F238E27FC236}">
              <a16:creationId xmlns:a16="http://schemas.microsoft.com/office/drawing/2014/main" id="{77A326CE-F2AB-0FF8-689F-53F894939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8</xdr:row>
      <xdr:rowOff>187960</xdr:rowOff>
    </xdr:from>
    <xdr:to>
      <xdr:col>5</xdr:col>
      <xdr:colOff>251460</xdr:colOff>
      <xdr:row>53</xdr:row>
      <xdr:rowOff>149860</xdr:rowOff>
    </xdr:to>
    <xdr:sp macro="" textlink="">
      <xdr:nvSpPr>
        <xdr:cNvPr id="2" name="Rectangle: Rounded Corners 1">
          <a:extLst>
            <a:ext uri="{FF2B5EF4-FFF2-40B4-BE49-F238E27FC236}">
              <a16:creationId xmlns:a16="http://schemas.microsoft.com/office/drawing/2014/main" id="{B67FB4C4-4615-6DE2-B7AE-0C7030F93896}"/>
            </a:ext>
          </a:extLst>
        </xdr:cNvPr>
        <xdr:cNvSpPr/>
      </xdr:nvSpPr>
      <xdr:spPr>
        <a:xfrm>
          <a:off x="708660" y="1772920"/>
          <a:ext cx="2895600" cy="8877300"/>
        </a:xfrm>
        <a:prstGeom prst="round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3200" b="1">
            <a:solidFill>
              <a:schemeClr val="bg2">
                <a:lumMod val="10000"/>
              </a:schemeClr>
            </a:solidFill>
            <a:latin typeface="+mn-lt"/>
            <a:ea typeface="+mn-ea"/>
            <a:cs typeface="+mn-cs"/>
          </a:endParaRPr>
        </a:p>
      </xdr:txBody>
    </xdr:sp>
    <xdr:clientData/>
  </xdr:twoCellAnchor>
  <xdr:twoCellAnchor>
    <xdr:from>
      <xdr:col>0</xdr:col>
      <xdr:colOff>622300</xdr:colOff>
      <xdr:row>1</xdr:row>
      <xdr:rowOff>50800</xdr:rowOff>
    </xdr:from>
    <xdr:to>
      <xdr:col>5</xdr:col>
      <xdr:colOff>50800</xdr:colOff>
      <xdr:row>4</xdr:row>
      <xdr:rowOff>114300</xdr:rowOff>
    </xdr:to>
    <xdr:sp macro="" textlink="">
      <xdr:nvSpPr>
        <xdr:cNvPr id="6" name="TextBox 5">
          <a:extLst>
            <a:ext uri="{FF2B5EF4-FFF2-40B4-BE49-F238E27FC236}">
              <a16:creationId xmlns:a16="http://schemas.microsoft.com/office/drawing/2014/main" id="{2967648F-79B9-4FD4-BA47-3914930B70C4}"/>
            </a:ext>
          </a:extLst>
        </xdr:cNvPr>
        <xdr:cNvSpPr txBox="1"/>
      </xdr:nvSpPr>
      <xdr:spPr>
        <a:xfrm>
          <a:off x="622300" y="254000"/>
          <a:ext cx="27940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292100</xdr:colOff>
      <xdr:row>12</xdr:row>
      <xdr:rowOff>12700</xdr:rowOff>
    </xdr:from>
    <xdr:to>
      <xdr:col>4</xdr:col>
      <xdr:colOff>376102</xdr:colOff>
      <xdr:row>15</xdr:row>
      <xdr:rowOff>88940</xdr:rowOff>
    </xdr:to>
    <xdr:pic>
      <xdr:nvPicPr>
        <xdr:cNvPr id="11" name="Picture 10">
          <a:extLst>
            <a:ext uri="{FF2B5EF4-FFF2-40B4-BE49-F238E27FC236}">
              <a16:creationId xmlns:a16="http://schemas.microsoft.com/office/drawing/2014/main" id="{BD910DCC-DB94-D84E-15E0-1C5C1F328988}"/>
            </a:ext>
          </a:extLst>
        </xdr:cNvPr>
        <xdr:cNvPicPr>
          <a:picLocks noChangeAspect="1"/>
        </xdr:cNvPicPr>
      </xdr:nvPicPr>
      <xdr:blipFill>
        <a:blip xmlns:r="http://schemas.openxmlformats.org/officeDocument/2006/relationships" r:embed="rId1"/>
        <a:stretch>
          <a:fillRect/>
        </a:stretch>
      </xdr:blipFill>
      <xdr:spPr>
        <a:xfrm>
          <a:off x="965200" y="2451100"/>
          <a:ext cx="2103302" cy="685840"/>
        </a:xfrm>
        <a:prstGeom prst="rect">
          <a:avLst/>
        </a:prstGeom>
      </xdr:spPr>
    </xdr:pic>
    <xdr:clientData/>
  </xdr:twoCellAnchor>
  <xdr:twoCellAnchor>
    <xdr:from>
      <xdr:col>6</xdr:col>
      <xdr:colOff>279400</xdr:colOff>
      <xdr:row>9</xdr:row>
      <xdr:rowOff>81280</xdr:rowOff>
    </xdr:from>
    <xdr:to>
      <xdr:col>10</xdr:col>
      <xdr:colOff>622300</xdr:colOff>
      <xdr:row>16</xdr:row>
      <xdr:rowOff>93980</xdr:rowOff>
    </xdr:to>
    <xdr:sp macro="" textlink="">
      <xdr:nvSpPr>
        <xdr:cNvPr id="14" name="Rectangle: Rounded Corners 13">
          <a:extLst>
            <a:ext uri="{FF2B5EF4-FFF2-40B4-BE49-F238E27FC236}">
              <a16:creationId xmlns:a16="http://schemas.microsoft.com/office/drawing/2014/main" id="{119D6671-8344-A441-A9E6-4CD0AD17E171}"/>
            </a:ext>
          </a:extLst>
        </xdr:cNvPr>
        <xdr:cNvSpPr/>
      </xdr:nvSpPr>
      <xdr:spPr>
        <a:xfrm>
          <a:off x="4302760" y="1864360"/>
          <a:ext cx="3025140" cy="1399540"/>
        </a:xfrm>
        <a:prstGeom prst="round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bg2">
                  <a:lumMod val="10000"/>
                </a:schemeClr>
              </a:solidFill>
            </a:rPr>
            <a:t> Total Revenue</a:t>
          </a:r>
        </a:p>
        <a:p>
          <a:pPr algn="l"/>
          <a:r>
            <a:rPr lang="en-IN" sz="3200" b="1" i="0" u="none" strike="noStrike">
              <a:solidFill>
                <a:schemeClr val="tx1">
                  <a:lumMod val="95000"/>
                  <a:lumOff val="5000"/>
                </a:schemeClr>
              </a:solidFill>
              <a:effectLst/>
              <a:latin typeface="+mn-lt"/>
              <a:ea typeface="+mn-ea"/>
              <a:cs typeface="+mn-cs"/>
            </a:rPr>
            <a:t> ₹ 12,01,681.49</a:t>
          </a:r>
          <a:r>
            <a:rPr lang="en-IN" sz="3200" b="1">
              <a:solidFill>
                <a:schemeClr val="tx1">
                  <a:lumMod val="95000"/>
                  <a:lumOff val="5000"/>
                </a:schemeClr>
              </a:solidFill>
              <a:effectLst/>
              <a:latin typeface="+mn-lt"/>
            </a:rPr>
            <a:t> </a:t>
          </a:r>
          <a:endParaRPr lang="en-IN" sz="3200" b="1">
            <a:solidFill>
              <a:schemeClr val="tx1">
                <a:lumMod val="95000"/>
                <a:lumOff val="5000"/>
              </a:schemeClr>
            </a:solidFill>
            <a:latin typeface="+mn-lt"/>
          </a:endParaRPr>
        </a:p>
      </xdr:txBody>
    </xdr:sp>
    <xdr:clientData/>
  </xdr:twoCellAnchor>
  <xdr:twoCellAnchor>
    <xdr:from>
      <xdr:col>13</xdr:col>
      <xdr:colOff>50800</xdr:colOff>
      <xdr:row>9</xdr:row>
      <xdr:rowOff>43180</xdr:rowOff>
    </xdr:from>
    <xdr:to>
      <xdr:col>17</xdr:col>
      <xdr:colOff>581660</xdr:colOff>
      <xdr:row>16</xdr:row>
      <xdr:rowOff>30480</xdr:rowOff>
    </xdr:to>
    <xdr:sp macro="" textlink="">
      <xdr:nvSpPr>
        <xdr:cNvPr id="15" name="Rectangle: Rounded Corners 14">
          <a:extLst>
            <a:ext uri="{FF2B5EF4-FFF2-40B4-BE49-F238E27FC236}">
              <a16:creationId xmlns:a16="http://schemas.microsoft.com/office/drawing/2014/main" id="{70F362BA-17D6-7201-7A5A-102E28FD9E91}"/>
            </a:ext>
          </a:extLst>
        </xdr:cNvPr>
        <xdr:cNvSpPr/>
      </xdr:nvSpPr>
      <xdr:spPr>
        <a:xfrm>
          <a:off x="8768080" y="1826260"/>
          <a:ext cx="3213100" cy="137414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800" b="1">
              <a:solidFill>
                <a:schemeClr val="tx1">
                  <a:lumMod val="95000"/>
                  <a:lumOff val="5000"/>
                </a:schemeClr>
              </a:solidFill>
              <a:latin typeface="+mn-lt"/>
              <a:ea typeface="+mn-ea"/>
              <a:cs typeface="+mn-cs"/>
            </a:rPr>
            <a:t>Avg Sales Per Item</a:t>
          </a:r>
          <a:endParaRPr lang="en-IN" sz="1100" b="0" i="0" u="none" strike="noStrike">
            <a:solidFill>
              <a:schemeClr val="lt1"/>
            </a:solidFill>
            <a:effectLst/>
            <a:latin typeface="+mn-lt"/>
            <a:ea typeface="+mn-ea"/>
            <a:cs typeface="+mn-cs"/>
          </a:endParaRPr>
        </a:p>
        <a:p>
          <a:pPr marL="0" indent="0" algn="l"/>
          <a:r>
            <a:rPr lang="en-IN" sz="3600" b="1" i="0" u="none" strike="noStrike">
              <a:solidFill>
                <a:schemeClr val="tx1">
                  <a:lumMod val="95000"/>
                  <a:lumOff val="5000"/>
                </a:schemeClr>
              </a:solidFill>
              <a:effectLst/>
              <a:latin typeface="+mn-lt"/>
              <a:ea typeface="+mn-ea"/>
              <a:cs typeface="+mn-cs"/>
            </a:rPr>
            <a:t>       ₹ 141</a:t>
          </a:r>
          <a:r>
            <a:rPr lang="en-IN" sz="3600" b="1">
              <a:solidFill>
                <a:schemeClr val="tx1">
                  <a:lumMod val="95000"/>
                  <a:lumOff val="5000"/>
                </a:schemeClr>
              </a:solidFill>
              <a:effectLst/>
            </a:rPr>
            <a:t> </a:t>
          </a:r>
          <a:endParaRPr lang="en-IN" sz="3600" b="1">
            <a:solidFill>
              <a:schemeClr val="tx1">
                <a:lumMod val="95000"/>
                <a:lumOff val="5000"/>
              </a:schemeClr>
            </a:solidFill>
            <a:latin typeface="+mn-lt"/>
            <a:ea typeface="+mn-ea"/>
            <a:cs typeface="+mn-cs"/>
          </a:endParaRPr>
        </a:p>
      </xdr:txBody>
    </xdr:sp>
    <xdr:clientData/>
  </xdr:twoCellAnchor>
  <xdr:twoCellAnchor>
    <xdr:from>
      <xdr:col>19</xdr:col>
      <xdr:colOff>426720</xdr:colOff>
      <xdr:row>9</xdr:row>
      <xdr:rowOff>43180</xdr:rowOff>
    </xdr:from>
    <xdr:to>
      <xdr:col>24</xdr:col>
      <xdr:colOff>162560</xdr:colOff>
      <xdr:row>16</xdr:row>
      <xdr:rowOff>30480</xdr:rowOff>
    </xdr:to>
    <xdr:sp macro="" textlink="">
      <xdr:nvSpPr>
        <xdr:cNvPr id="17" name="Rectangle: Rounded Corners 16">
          <a:extLst>
            <a:ext uri="{FF2B5EF4-FFF2-40B4-BE49-F238E27FC236}">
              <a16:creationId xmlns:a16="http://schemas.microsoft.com/office/drawing/2014/main" id="{36A86DC0-B82B-4C75-AAC8-E3799DA72F10}"/>
            </a:ext>
          </a:extLst>
        </xdr:cNvPr>
        <xdr:cNvSpPr/>
      </xdr:nvSpPr>
      <xdr:spPr>
        <a:xfrm>
          <a:off x="13167360" y="1826260"/>
          <a:ext cx="3088640" cy="1374140"/>
        </a:xfrm>
        <a:prstGeom prst="round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3200" b="1">
              <a:solidFill>
                <a:schemeClr val="bg2">
                  <a:lumMod val="10000"/>
                </a:schemeClr>
              </a:solidFill>
              <a:latin typeface="+mn-lt"/>
              <a:ea typeface="+mn-ea"/>
              <a:cs typeface="+mn-cs"/>
            </a:rPr>
            <a:t>Total Items Sold</a:t>
          </a:r>
        </a:p>
        <a:p>
          <a:pPr marL="0" indent="0" algn="l"/>
          <a:r>
            <a:rPr lang="en-IN" sz="3200" b="1">
              <a:solidFill>
                <a:schemeClr val="bg2">
                  <a:lumMod val="10000"/>
                </a:schemeClr>
              </a:solidFill>
              <a:latin typeface="+mn-lt"/>
              <a:ea typeface="+mn-ea"/>
              <a:cs typeface="+mn-cs"/>
            </a:rPr>
            <a:t>         8523 </a:t>
          </a:r>
        </a:p>
      </xdr:txBody>
    </xdr:sp>
    <xdr:clientData/>
  </xdr:twoCellAnchor>
  <xdr:twoCellAnchor>
    <xdr:from>
      <xdr:col>25</xdr:col>
      <xdr:colOff>457200</xdr:colOff>
      <xdr:row>9</xdr:row>
      <xdr:rowOff>0</xdr:rowOff>
    </xdr:from>
    <xdr:to>
      <xdr:col>30</xdr:col>
      <xdr:colOff>190500</xdr:colOff>
      <xdr:row>15</xdr:row>
      <xdr:rowOff>190500</xdr:rowOff>
    </xdr:to>
    <xdr:sp macro="" textlink="">
      <xdr:nvSpPr>
        <xdr:cNvPr id="19" name="Rectangle: Rounded Corners 18">
          <a:extLst>
            <a:ext uri="{FF2B5EF4-FFF2-40B4-BE49-F238E27FC236}">
              <a16:creationId xmlns:a16="http://schemas.microsoft.com/office/drawing/2014/main" id="{A8519E45-9CF2-4346-BFEE-D65738085062}"/>
            </a:ext>
          </a:extLst>
        </xdr:cNvPr>
        <xdr:cNvSpPr/>
      </xdr:nvSpPr>
      <xdr:spPr>
        <a:xfrm>
          <a:off x="17284700" y="1828800"/>
          <a:ext cx="3098800" cy="14097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800" b="1">
              <a:solidFill>
                <a:schemeClr val="tx1">
                  <a:lumMod val="95000"/>
                  <a:lumOff val="5000"/>
                </a:schemeClr>
              </a:solidFill>
              <a:latin typeface="+mn-lt"/>
              <a:ea typeface="+mn-ea"/>
              <a:cs typeface="+mn-cs"/>
            </a:rPr>
            <a:t>    Average Rating</a:t>
          </a:r>
        </a:p>
        <a:p>
          <a:pPr marL="0" indent="0" algn="l"/>
          <a:r>
            <a:rPr lang="en-IN" sz="2800" b="1">
              <a:solidFill>
                <a:schemeClr val="tx1">
                  <a:lumMod val="95000"/>
                  <a:lumOff val="5000"/>
                </a:schemeClr>
              </a:solidFill>
              <a:latin typeface="+mn-lt"/>
              <a:ea typeface="+mn-ea"/>
              <a:cs typeface="+mn-cs"/>
            </a:rPr>
            <a:t>              3.97 </a:t>
          </a:r>
        </a:p>
      </xdr:txBody>
    </xdr:sp>
    <xdr:clientData/>
  </xdr:twoCellAnchor>
  <xdr:twoCellAnchor editAs="oneCell">
    <xdr:from>
      <xdr:col>1</xdr:col>
      <xdr:colOff>106680</xdr:colOff>
      <xdr:row>8</xdr:row>
      <xdr:rowOff>45720</xdr:rowOff>
    </xdr:from>
    <xdr:to>
      <xdr:col>4</xdr:col>
      <xdr:colOff>638269</xdr:colOff>
      <xdr:row>14</xdr:row>
      <xdr:rowOff>149467</xdr:rowOff>
    </xdr:to>
    <xdr:pic>
      <xdr:nvPicPr>
        <xdr:cNvPr id="20" name="Picture 19">
          <a:extLst>
            <a:ext uri="{FF2B5EF4-FFF2-40B4-BE49-F238E27FC236}">
              <a16:creationId xmlns:a16="http://schemas.microsoft.com/office/drawing/2014/main" id="{E48211C4-BED5-350E-566A-F29F36D8BC55}"/>
            </a:ext>
          </a:extLst>
        </xdr:cNvPr>
        <xdr:cNvPicPr>
          <a:picLocks noChangeAspect="1"/>
        </xdr:cNvPicPr>
      </xdr:nvPicPr>
      <xdr:blipFill>
        <a:blip xmlns:r="http://schemas.openxmlformats.org/officeDocument/2006/relationships" r:embed="rId2"/>
        <a:stretch>
          <a:fillRect/>
        </a:stretch>
      </xdr:blipFill>
      <xdr:spPr>
        <a:xfrm>
          <a:off x="779780" y="1671320"/>
          <a:ext cx="2550889" cy="1322947"/>
        </a:xfrm>
        <a:prstGeom prst="rect">
          <a:avLst/>
        </a:prstGeom>
      </xdr:spPr>
    </xdr:pic>
    <xdr:clientData/>
  </xdr:twoCellAnchor>
  <xdr:twoCellAnchor>
    <xdr:from>
      <xdr:col>1</xdr:col>
      <xdr:colOff>191770</xdr:colOff>
      <xdr:row>0</xdr:row>
      <xdr:rowOff>182880</xdr:rowOff>
    </xdr:from>
    <xdr:to>
      <xdr:col>30</xdr:col>
      <xdr:colOff>341630</xdr:colOff>
      <xdr:row>7</xdr:row>
      <xdr:rowOff>60960</xdr:rowOff>
    </xdr:to>
    <xdr:sp macro="" textlink="">
      <xdr:nvSpPr>
        <xdr:cNvPr id="27" name="Rectangle: Single Corner Rounded 26">
          <a:extLst>
            <a:ext uri="{FF2B5EF4-FFF2-40B4-BE49-F238E27FC236}">
              <a16:creationId xmlns:a16="http://schemas.microsoft.com/office/drawing/2014/main" id="{BAA341AF-92AD-99AD-316F-0CEE7946306C}"/>
            </a:ext>
          </a:extLst>
        </xdr:cNvPr>
        <xdr:cNvSpPr/>
      </xdr:nvSpPr>
      <xdr:spPr>
        <a:xfrm>
          <a:off x="858520" y="182880"/>
          <a:ext cx="19485610" cy="1211580"/>
        </a:xfrm>
        <a:prstGeom prst="round1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6" algn="l"/>
          <a:r>
            <a:rPr lang="en-IN" sz="6000" b="1">
              <a:solidFill>
                <a:srgbClr val="FDE113"/>
              </a:solidFill>
              <a:latin typeface="Arial Black" panose="020B0A04020102020204" pitchFamily="34" charset="0"/>
            </a:rPr>
            <a:t>    BLINKIT SALES DASHBOARD</a:t>
          </a:r>
        </a:p>
      </xdr:txBody>
    </xdr:sp>
    <xdr:clientData/>
  </xdr:twoCellAnchor>
  <xdr:twoCellAnchor>
    <xdr:from>
      <xdr:col>6</xdr:col>
      <xdr:colOff>25400</xdr:colOff>
      <xdr:row>17</xdr:row>
      <xdr:rowOff>127000</xdr:rowOff>
    </xdr:from>
    <xdr:to>
      <xdr:col>15</xdr:col>
      <xdr:colOff>520700</xdr:colOff>
      <xdr:row>35</xdr:row>
      <xdr:rowOff>165100</xdr:rowOff>
    </xdr:to>
    <xdr:graphicFrame macro="">
      <xdr:nvGraphicFramePr>
        <xdr:cNvPr id="29" name="Chart 28">
          <a:extLst>
            <a:ext uri="{FF2B5EF4-FFF2-40B4-BE49-F238E27FC236}">
              <a16:creationId xmlns:a16="http://schemas.microsoft.com/office/drawing/2014/main" id="{F141D16A-D419-45B4-B799-1AA204C6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17</xdr:row>
      <xdr:rowOff>127000</xdr:rowOff>
    </xdr:from>
    <xdr:to>
      <xdr:col>23</xdr:col>
      <xdr:colOff>76200</xdr:colOff>
      <xdr:row>35</xdr:row>
      <xdr:rowOff>139700</xdr:rowOff>
    </xdr:to>
    <xdr:graphicFrame macro="">
      <xdr:nvGraphicFramePr>
        <xdr:cNvPr id="31" name="Chart 30">
          <a:extLst>
            <a:ext uri="{FF2B5EF4-FFF2-40B4-BE49-F238E27FC236}">
              <a16:creationId xmlns:a16="http://schemas.microsoft.com/office/drawing/2014/main" id="{132D572F-EDEB-449C-AC56-6CDA1AB56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266700</xdr:colOff>
      <xdr:row>17</xdr:row>
      <xdr:rowOff>114300</xdr:rowOff>
    </xdr:from>
    <xdr:to>
      <xdr:col>30</xdr:col>
      <xdr:colOff>127000</xdr:colOff>
      <xdr:row>35</xdr:row>
      <xdr:rowOff>165100</xdr:rowOff>
    </xdr:to>
    <xdr:graphicFrame macro="">
      <xdr:nvGraphicFramePr>
        <xdr:cNvPr id="33" name="Chart 32">
          <a:extLst>
            <a:ext uri="{FF2B5EF4-FFF2-40B4-BE49-F238E27FC236}">
              <a16:creationId xmlns:a16="http://schemas.microsoft.com/office/drawing/2014/main" id="{E614710C-3658-4BBA-944A-536068E5D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12700</xdr:colOff>
      <xdr:row>36</xdr:row>
      <xdr:rowOff>139700</xdr:rowOff>
    </xdr:from>
    <xdr:to>
      <xdr:col>16</xdr:col>
      <xdr:colOff>533400</xdr:colOff>
      <xdr:row>53</xdr:row>
      <xdr:rowOff>101600</xdr:rowOff>
    </xdr:to>
    <xdr:graphicFrame macro="">
      <xdr:nvGraphicFramePr>
        <xdr:cNvPr id="35" name="Chart 34">
          <a:extLst>
            <a:ext uri="{FF2B5EF4-FFF2-40B4-BE49-F238E27FC236}">
              <a16:creationId xmlns:a16="http://schemas.microsoft.com/office/drawing/2014/main" id="{C31AC462-4041-4F65-8832-6F545F88C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38100</xdr:colOff>
      <xdr:row>36</xdr:row>
      <xdr:rowOff>127000</xdr:rowOff>
    </xdr:from>
    <xdr:to>
      <xdr:col>30</xdr:col>
      <xdr:colOff>127000</xdr:colOff>
      <xdr:row>53</xdr:row>
      <xdr:rowOff>137160</xdr:rowOff>
    </xdr:to>
    <xdr:graphicFrame macro="">
      <xdr:nvGraphicFramePr>
        <xdr:cNvPr id="39" name="Chart 38">
          <a:extLst>
            <a:ext uri="{FF2B5EF4-FFF2-40B4-BE49-F238E27FC236}">
              <a16:creationId xmlns:a16="http://schemas.microsoft.com/office/drawing/2014/main" id="{62D36D97-2D49-4669-849F-55D2DC034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495300</xdr:colOff>
      <xdr:row>14</xdr:row>
      <xdr:rowOff>139700</xdr:rowOff>
    </xdr:from>
    <xdr:to>
      <xdr:col>4</xdr:col>
      <xdr:colOff>320040</xdr:colOff>
      <xdr:row>22</xdr:row>
      <xdr:rowOff>17780</xdr:rowOff>
    </xdr:to>
    <mc:AlternateContent xmlns:mc="http://schemas.openxmlformats.org/markup-compatibility/2006">
      <mc:Choice xmlns:a14="http://schemas.microsoft.com/office/drawing/2010/main" Requires="a14">
        <xdr:graphicFrame macro="">
          <xdr:nvGraphicFramePr>
            <xdr:cNvPr id="4" name="Outlet Location Type 2">
              <a:extLst>
                <a:ext uri="{FF2B5EF4-FFF2-40B4-BE49-F238E27FC236}">
                  <a16:creationId xmlns:a16="http://schemas.microsoft.com/office/drawing/2014/main" id="{B135BC52-1DDE-42DD-A793-0FF29825B5CE}"/>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dr:sp macro="" textlink="">
          <xdr:nvSpPr>
            <xdr:cNvPr id="0" name=""/>
            <xdr:cNvSpPr>
              <a:spLocks noTextEdit="1"/>
            </xdr:cNvSpPr>
          </xdr:nvSpPr>
          <xdr:spPr>
            <a:xfrm>
              <a:off x="1168400" y="2984500"/>
              <a:ext cx="1844040" cy="150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505460</xdr:colOff>
      <xdr:row>22</xdr:row>
      <xdr:rowOff>142240</xdr:rowOff>
    </xdr:from>
    <xdr:to>
      <xdr:col>4</xdr:col>
      <xdr:colOff>330200</xdr:colOff>
      <xdr:row>29</xdr:row>
      <xdr:rowOff>66040</xdr:rowOff>
    </xdr:to>
    <mc:AlternateContent xmlns:mc="http://schemas.openxmlformats.org/markup-compatibility/2006">
      <mc:Choice xmlns:a14="http://schemas.microsoft.com/office/drawing/2010/main" Requires="a14">
        <xdr:graphicFrame macro="">
          <xdr:nvGraphicFramePr>
            <xdr:cNvPr id="7" name="Outlet Size 2">
              <a:extLst>
                <a:ext uri="{FF2B5EF4-FFF2-40B4-BE49-F238E27FC236}">
                  <a16:creationId xmlns:a16="http://schemas.microsoft.com/office/drawing/2014/main" id="{8809B5C3-81C8-4D48-8882-D5F482CC3180}"/>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1178560" y="4612640"/>
              <a:ext cx="184404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492760</xdr:colOff>
      <xdr:row>30</xdr:row>
      <xdr:rowOff>55880</xdr:rowOff>
    </xdr:from>
    <xdr:to>
      <xdr:col>4</xdr:col>
      <xdr:colOff>317500</xdr:colOff>
      <xdr:row>35</xdr:row>
      <xdr:rowOff>152400</xdr:rowOff>
    </xdr:to>
    <mc:AlternateContent xmlns:mc="http://schemas.openxmlformats.org/markup-compatibility/2006">
      <mc:Choice xmlns:a14="http://schemas.microsoft.com/office/drawing/2010/main" Requires="a14">
        <xdr:graphicFrame macro="">
          <xdr:nvGraphicFramePr>
            <xdr:cNvPr id="8" name="Item Fat Content 1">
              <a:extLst>
                <a:ext uri="{FF2B5EF4-FFF2-40B4-BE49-F238E27FC236}">
                  <a16:creationId xmlns:a16="http://schemas.microsoft.com/office/drawing/2014/main" id="{8399B8C9-2098-473C-ACDD-FFFA54235071}"/>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dr:sp macro="" textlink="">
          <xdr:nvSpPr>
            <xdr:cNvPr id="0" name=""/>
            <xdr:cNvSpPr>
              <a:spLocks noTextEdit="1"/>
            </xdr:cNvSpPr>
          </xdr:nvSpPr>
          <xdr:spPr>
            <a:xfrm>
              <a:off x="1165860" y="6151880"/>
              <a:ext cx="184404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551180</xdr:colOff>
      <xdr:row>36</xdr:row>
      <xdr:rowOff>81281</xdr:rowOff>
    </xdr:from>
    <xdr:to>
      <xdr:col>4</xdr:col>
      <xdr:colOff>368300</xdr:colOff>
      <xdr:row>46</xdr:row>
      <xdr:rowOff>152401</xdr:rowOff>
    </xdr:to>
    <mc:AlternateContent xmlns:mc="http://schemas.openxmlformats.org/markup-compatibility/2006">
      <mc:Choice xmlns:a14="http://schemas.microsoft.com/office/drawing/2010/main" Requires="a14">
        <xdr:graphicFrame macro="">
          <xdr:nvGraphicFramePr>
            <xdr:cNvPr id="9" name="Outlet Establishment Year 1">
              <a:extLst>
                <a:ext uri="{FF2B5EF4-FFF2-40B4-BE49-F238E27FC236}">
                  <a16:creationId xmlns:a16="http://schemas.microsoft.com/office/drawing/2014/main" id="{7DFCDBB1-6ACA-467C-9B14-8850E99B6948}"/>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dr:sp macro="" textlink="">
          <xdr:nvSpPr>
            <xdr:cNvPr id="0" name=""/>
            <xdr:cNvSpPr>
              <a:spLocks noTextEdit="1"/>
            </xdr:cNvSpPr>
          </xdr:nvSpPr>
          <xdr:spPr>
            <a:xfrm>
              <a:off x="1224280" y="7396481"/>
              <a:ext cx="183642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546100</xdr:colOff>
      <xdr:row>47</xdr:row>
      <xdr:rowOff>127000</xdr:rowOff>
    </xdr:from>
    <xdr:to>
      <xdr:col>4</xdr:col>
      <xdr:colOff>88900</xdr:colOff>
      <xdr:row>52</xdr:row>
      <xdr:rowOff>25400</xdr:rowOff>
    </xdr:to>
    <xdr:pic>
      <xdr:nvPicPr>
        <xdr:cNvPr id="13" name="Graphic 12" descr="Database">
          <a:hlinkClick xmlns:r="http://schemas.openxmlformats.org/officeDocument/2006/relationships" r:id="rId8"/>
          <a:extLst>
            <a:ext uri="{FF2B5EF4-FFF2-40B4-BE49-F238E27FC236}">
              <a16:creationId xmlns:a16="http://schemas.microsoft.com/office/drawing/2014/main" id="{B134369C-B92D-4883-89D5-F4913515425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0" y="9677400"/>
          <a:ext cx="15621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5520A-C9A6-4885-8734-66FDEBD4B2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3">
    <pivotField showAll="0">
      <items count="3">
        <item x="1"/>
        <item x="0"/>
        <item t="default"/>
      </items>
    </pivotField>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FD3B6E-7AF7-4C37-AA0B-8B88D92278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6" firstHeaderRow="1" firstDataRow="1" firstDataCol="1"/>
  <pivotFields count="13">
    <pivotField axis="axisRow" showAll="0">
      <items count="3">
        <item x="1"/>
        <item x="0"/>
        <item t="default"/>
      </items>
    </pivotField>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0" count="1" selected="0">
            <x v="0"/>
          </reference>
        </references>
      </pivotArea>
    </chartFormat>
    <chartFormat chart="2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5FA7B-DD65-4BCC-9615-F629AF5526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13">
    <pivotField showAll="0">
      <items count="3">
        <item x="1"/>
        <item x="0"/>
        <item t="default"/>
      </items>
    </pivotField>
    <pivotField showAll="0"/>
    <pivotField showAll="0"/>
    <pivotField showAll="0"/>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chartFormats count="4">
    <chartFormat chart="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D07FD-F243-4D0D-A361-D48A376F72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0" firstHeaderRow="1" firstDataRow="1" firstDataCol="1"/>
  <pivotFields count="13">
    <pivotField showAll="0">
      <items count="3">
        <item x="1"/>
        <item x="0"/>
        <item t="default"/>
      </items>
    </pivotField>
    <pivotField showAll="0"/>
    <pivotField showAll="0"/>
    <pivotField axis="axisRow"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4905FD-3D76-4082-A85D-A6FAE8FDD8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3">
    <pivotField showAll="0">
      <items count="3">
        <item x="1"/>
        <item x="0"/>
        <item t="default"/>
      </items>
    </pivotField>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chartFormats count="8">
    <chartFormat chart="3"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1" xr10:uid="{6DE2874A-310B-44B7-9609-BD4E8B1238E6}" sourceName="Outlet Location Type">
  <pivotTables>
    <pivotTable tabId="6" name="PivotTable2"/>
    <pivotTable tabId="7" name="PivotTable3"/>
    <pivotTable tabId="8" name="PivotTable4"/>
    <pivotTable tabId="9" name="PivotTable5"/>
    <pivotTable tabId="10" name="PivotTable6"/>
  </pivotTables>
  <data>
    <tabular pivotCacheId="180358681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E95D25F0-989E-437B-9719-07CB971A727C}" sourceName="Outlet Size">
  <pivotTables>
    <pivotTable tabId="6" name="PivotTable2"/>
    <pivotTable tabId="7" name="PivotTable3"/>
    <pivotTable tabId="8" name="PivotTable4"/>
    <pivotTable tabId="9" name="PivotTable5"/>
    <pivotTable tabId="10" name="PivotTable6"/>
  </pivotTables>
  <data>
    <tabular pivotCacheId="180358681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23D4E1B-8983-452B-9A78-A4B107C8BF02}" sourceName="Item Fat Content">
  <pivotTables>
    <pivotTable tabId="6" name="PivotTable2"/>
    <pivotTable tabId="7" name="PivotTable3"/>
    <pivotTable tabId="8" name="PivotTable4"/>
    <pivotTable tabId="9" name="PivotTable5"/>
    <pivotTable tabId="10" name="PivotTable6"/>
  </pivotTables>
  <data>
    <tabular pivotCacheId="180358681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0B7E157E-A80F-4F58-B102-FFA4405FF2B6}" sourceName="Outlet Establishment Year">
  <pivotTables>
    <pivotTable tabId="6" name="PivotTable2"/>
    <pivotTable tabId="7" name="PivotTable3"/>
    <pivotTable tabId="8" name="PivotTable4"/>
    <pivotTable tabId="9" name="PivotTable5"/>
    <pivotTable tabId="10" name="PivotTable6"/>
  </pivotTables>
  <data>
    <tabular pivotCacheId="1803586811">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2" xr10:uid="{1AE65CC7-58D1-48E3-AF5A-62D496A0844D}" cache="Slicer_Outlet_Location_Type1" caption="Outlet Location Type" style="SlicerStyleDark6" rowHeight="260350"/>
  <slicer name="Outlet Size 2" xr10:uid="{569DFADB-9472-46AF-A500-ED5B628A9645}" cache="Slicer_Outlet_Size1" caption="Outlet Size" style="SlicerStyleDark6" rowHeight="260350"/>
  <slicer name="Item Fat Content 1" xr10:uid="{90074E5C-B621-40E6-8729-D061426D6F45}" cache="Slicer_Item_Fat_Content" caption="Item Fat Content" style="SlicerStyleDark6" rowHeight="260350"/>
  <slicer name="Outlet Establishment Year 1" xr10:uid="{1AC06424-D43A-46AA-A950-2029627E2432}" cache="Slicer_Outlet_Establishment_Year" caption="Outlet Establishment Year"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R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5" max="15" width="19.09765625" bestFit="1" customWidth="1"/>
    <col min="16" max="16" width="13" bestFit="1" customWidth="1"/>
    <col min="18" max="18" width="13" bestFit="1" customWidth="1"/>
  </cols>
  <sheetData>
    <row r="1" spans="1:16" x14ac:dyDescent="0.3">
      <c r="A1" t="s">
        <v>0</v>
      </c>
      <c r="B1" t="s">
        <v>1611</v>
      </c>
      <c r="C1" t="s">
        <v>1</v>
      </c>
      <c r="D1" t="s">
        <v>2</v>
      </c>
      <c r="E1" t="s">
        <v>1609</v>
      </c>
      <c r="F1" t="s">
        <v>3</v>
      </c>
      <c r="G1" t="s">
        <v>4</v>
      </c>
      <c r="H1" t="s">
        <v>5</v>
      </c>
      <c r="I1" t="s">
        <v>6</v>
      </c>
      <c r="J1" t="s">
        <v>7</v>
      </c>
      <c r="K1" t="s">
        <v>8</v>
      </c>
      <c r="L1" t="s">
        <v>1608</v>
      </c>
      <c r="M1" t="s">
        <v>9</v>
      </c>
      <c r="O1" t="s">
        <v>2</v>
      </c>
      <c r="P1" t="s">
        <v>1613</v>
      </c>
    </row>
    <row r="2" spans="1:16" x14ac:dyDescent="0.3">
      <c r="A2" t="s">
        <v>10</v>
      </c>
      <c r="B2">
        <v>1</v>
      </c>
      <c r="C2" t="s">
        <v>11</v>
      </c>
      <c r="D2" t="s">
        <v>12</v>
      </c>
      <c r="E2">
        <v>2012</v>
      </c>
      <c r="F2" t="s">
        <v>13</v>
      </c>
      <c r="G2" t="s">
        <v>14</v>
      </c>
      <c r="H2" t="s">
        <v>15</v>
      </c>
      <c r="I2" t="s">
        <v>16</v>
      </c>
      <c r="J2">
        <v>0.10001350000000001</v>
      </c>
      <c r="K2">
        <v>15.1</v>
      </c>
      <c r="L2">
        <v>145.4786</v>
      </c>
      <c r="M2">
        <v>5</v>
      </c>
      <c r="O2" t="s">
        <v>1614</v>
      </c>
      <c r="P2">
        <f>AVERAGE(IF($D$2:$D$8524=O2,$K$2:$K$8524))</f>
        <v>12.476704521290536</v>
      </c>
    </row>
    <row r="3" spans="1:16" x14ac:dyDescent="0.3">
      <c r="A3" t="s">
        <v>17</v>
      </c>
      <c r="B3">
        <v>2</v>
      </c>
      <c r="C3" t="s">
        <v>18</v>
      </c>
      <c r="D3" t="s">
        <v>19</v>
      </c>
      <c r="E3">
        <v>2022</v>
      </c>
      <c r="F3" t="s">
        <v>20</v>
      </c>
      <c r="G3" t="s">
        <v>21</v>
      </c>
      <c r="H3" t="s">
        <v>15</v>
      </c>
      <c r="I3" t="s">
        <v>22</v>
      </c>
      <c r="J3">
        <v>8.5960510000000004E-3</v>
      </c>
      <c r="K3">
        <v>11.8</v>
      </c>
      <c r="L3">
        <v>115.3492</v>
      </c>
      <c r="M3">
        <v>5</v>
      </c>
      <c r="O3" t="s">
        <v>48</v>
      </c>
      <c r="P3">
        <f t="array" ref="P3">AVERAGE(IF($D$2:$D$8524=O3,$K$2:$K$8524))</f>
        <v>12.582513402777741</v>
      </c>
    </row>
    <row r="4" spans="1:16" x14ac:dyDescent="0.3">
      <c r="A4" t="s">
        <v>10</v>
      </c>
      <c r="B4">
        <v>3</v>
      </c>
      <c r="C4" t="s">
        <v>23</v>
      </c>
      <c r="D4" t="s">
        <v>24</v>
      </c>
      <c r="E4">
        <v>2016</v>
      </c>
      <c r="F4" t="s">
        <v>25</v>
      </c>
      <c r="G4" t="s">
        <v>14</v>
      </c>
      <c r="H4" t="s">
        <v>26</v>
      </c>
      <c r="I4" t="s">
        <v>16</v>
      </c>
      <c r="J4">
        <v>2.5896485E-2</v>
      </c>
      <c r="K4">
        <v>13.85</v>
      </c>
      <c r="L4">
        <v>165.02099999999999</v>
      </c>
      <c r="M4">
        <v>5</v>
      </c>
      <c r="O4" t="s">
        <v>42</v>
      </c>
      <c r="P4">
        <f t="array" ref="P4">AVERAGE(IF($D$2:$D$8524=O4,$K$2:$K$8524))</f>
        <v>13.016199631687019</v>
      </c>
    </row>
    <row r="5" spans="1:16" x14ac:dyDescent="0.3">
      <c r="A5" t="s">
        <v>10</v>
      </c>
      <c r="B5">
        <v>4</v>
      </c>
      <c r="C5" t="s">
        <v>27</v>
      </c>
      <c r="D5" t="s">
        <v>28</v>
      </c>
      <c r="E5">
        <v>2014</v>
      </c>
      <c r="F5" t="s">
        <v>29</v>
      </c>
      <c r="G5" t="s">
        <v>21</v>
      </c>
      <c r="H5" t="s">
        <v>30</v>
      </c>
      <c r="I5" t="s">
        <v>16</v>
      </c>
      <c r="J5">
        <v>4.2277866999999997E-2</v>
      </c>
      <c r="K5">
        <v>12.15</v>
      </c>
      <c r="L5">
        <v>126.5046</v>
      </c>
      <c r="M5">
        <v>5</v>
      </c>
      <c r="O5" t="s">
        <v>24</v>
      </c>
      <c r="P5">
        <f t="array" ref="P5">AVERAGE(IF($D$2:$D$8524=O5,$K$2:$K$8524))</f>
        <v>12.53264299829682</v>
      </c>
    </row>
    <row r="6" spans="1:16" x14ac:dyDescent="0.3">
      <c r="A6" t="s">
        <v>17</v>
      </c>
      <c r="B6">
        <v>5</v>
      </c>
      <c r="C6" t="s">
        <v>31</v>
      </c>
      <c r="D6" t="s">
        <v>32</v>
      </c>
      <c r="E6">
        <v>2015</v>
      </c>
      <c r="F6" t="s">
        <v>33</v>
      </c>
      <c r="G6" t="s">
        <v>34</v>
      </c>
      <c r="H6" t="s">
        <v>26</v>
      </c>
      <c r="I6" t="s">
        <v>16</v>
      </c>
      <c r="J6">
        <v>3.3970195000000002E-2</v>
      </c>
      <c r="K6">
        <v>19.600000000000001</v>
      </c>
      <c r="L6">
        <v>55.1614</v>
      </c>
      <c r="M6">
        <v>5</v>
      </c>
      <c r="O6" t="s">
        <v>67</v>
      </c>
      <c r="P6">
        <f t="array" ref="P6">AVERAGE(IF($D$2:$D$8524=O6,$K$2:$K$8524))</f>
        <v>13.037653808446825</v>
      </c>
    </row>
    <row r="7" spans="1:16" x14ac:dyDescent="0.3">
      <c r="A7" t="s">
        <v>17</v>
      </c>
      <c r="B7">
        <v>6</v>
      </c>
      <c r="C7" t="s">
        <v>36</v>
      </c>
      <c r="D7" t="s">
        <v>24</v>
      </c>
      <c r="E7">
        <v>2020</v>
      </c>
      <c r="F7" t="s">
        <v>37</v>
      </c>
      <c r="G7" t="s">
        <v>34</v>
      </c>
      <c r="H7" t="s">
        <v>26</v>
      </c>
      <c r="I7" t="s">
        <v>16</v>
      </c>
      <c r="J7">
        <v>5.5054809999999996E-3</v>
      </c>
      <c r="K7">
        <v>8.89</v>
      </c>
      <c r="L7">
        <v>102.4016</v>
      </c>
      <c r="M7">
        <v>5</v>
      </c>
      <c r="O7" t="s">
        <v>28</v>
      </c>
      <c r="P7">
        <f t="array" ref="P7">AVERAGE(IF($D$2:$D$8524=O7,$K$2:$K$8524))</f>
        <v>11.952194379880414</v>
      </c>
    </row>
    <row r="8" spans="1:16" x14ac:dyDescent="0.3">
      <c r="A8" t="s">
        <v>17</v>
      </c>
      <c r="B8">
        <v>7</v>
      </c>
      <c r="C8" t="s">
        <v>38</v>
      </c>
      <c r="D8" t="s">
        <v>19</v>
      </c>
      <c r="E8">
        <v>2011</v>
      </c>
      <c r="F8" t="s">
        <v>39</v>
      </c>
      <c r="G8" t="s">
        <v>21</v>
      </c>
      <c r="H8" t="s">
        <v>26</v>
      </c>
      <c r="I8" t="s">
        <v>40</v>
      </c>
      <c r="J8">
        <v>9.8312420999999997E-2</v>
      </c>
      <c r="K8">
        <v>11.8</v>
      </c>
      <c r="L8">
        <v>81.461799999999997</v>
      </c>
      <c r="M8">
        <v>5</v>
      </c>
      <c r="O8" t="s">
        <v>95</v>
      </c>
      <c r="P8">
        <f t="array" ref="P8">AVERAGE(IF($D$2:$D$8524=O8,$K$2:$K$8524))</f>
        <v>11.910348079561089</v>
      </c>
    </row>
    <row r="9" spans="1:16" x14ac:dyDescent="0.3">
      <c r="A9" t="s">
        <v>17</v>
      </c>
      <c r="B9">
        <v>8</v>
      </c>
      <c r="C9" t="s">
        <v>41</v>
      </c>
      <c r="D9" t="s">
        <v>42</v>
      </c>
      <c r="E9">
        <v>2015</v>
      </c>
      <c r="F9" t="s">
        <v>33</v>
      </c>
      <c r="G9" t="s">
        <v>34</v>
      </c>
      <c r="H9" t="s">
        <v>26</v>
      </c>
      <c r="I9" t="s">
        <v>16</v>
      </c>
      <c r="J9">
        <v>2.6903713999999999E-2</v>
      </c>
      <c r="K9">
        <v>19.7</v>
      </c>
      <c r="L9">
        <v>96.072599999999994</v>
      </c>
      <c r="M9">
        <v>5</v>
      </c>
      <c r="O9" t="s">
        <v>19</v>
      </c>
      <c r="P9">
        <f t="array" ref="P9">AVERAGE(IF($D$2:$D$8524=O9,$K$2:$K$8524))</f>
        <v>12.74862777366865</v>
      </c>
    </row>
    <row r="10" spans="1:16" x14ac:dyDescent="0.3">
      <c r="A10" t="s">
        <v>17</v>
      </c>
      <c r="B10">
        <v>9</v>
      </c>
      <c r="C10" t="s">
        <v>43</v>
      </c>
      <c r="D10" t="s">
        <v>12</v>
      </c>
      <c r="E10">
        <v>2014</v>
      </c>
      <c r="F10" t="s">
        <v>29</v>
      </c>
      <c r="G10" t="s">
        <v>21</v>
      </c>
      <c r="H10" t="s">
        <v>30</v>
      </c>
      <c r="I10" t="s">
        <v>16</v>
      </c>
      <c r="J10">
        <v>2.4129332E-2</v>
      </c>
      <c r="K10">
        <v>20.75</v>
      </c>
      <c r="L10">
        <v>124.173</v>
      </c>
      <c r="M10">
        <v>5</v>
      </c>
      <c r="O10" t="s">
        <v>32</v>
      </c>
      <c r="P10">
        <f t="array" ref="P10">AVERAGE(IF($D$2:$D$8524=O10,$K$2:$K$8524))</f>
        <v>11.545866431006209</v>
      </c>
    </row>
    <row r="11" spans="1:16" x14ac:dyDescent="0.3">
      <c r="A11" t="s">
        <v>17</v>
      </c>
      <c r="B11">
        <v>10</v>
      </c>
      <c r="C11" t="s">
        <v>44</v>
      </c>
      <c r="D11" t="s">
        <v>28</v>
      </c>
      <c r="E11">
        <v>2018</v>
      </c>
      <c r="F11" t="s">
        <v>45</v>
      </c>
      <c r="G11" t="s">
        <v>21</v>
      </c>
      <c r="H11" t="s">
        <v>15</v>
      </c>
      <c r="I11" t="s">
        <v>46</v>
      </c>
      <c r="J11">
        <v>0.101561568</v>
      </c>
      <c r="K11">
        <v>10.219992295839765</v>
      </c>
      <c r="L11">
        <v>181.92920000000001</v>
      </c>
      <c r="M11">
        <v>5</v>
      </c>
      <c r="O11" t="s">
        <v>54</v>
      </c>
      <c r="P11">
        <f t="array" ref="P11">AVERAGE(IF($D$2:$D$8524=O11,$K$2:$K$8524))</f>
        <v>12.267821647058836</v>
      </c>
    </row>
    <row r="12" spans="1:16" x14ac:dyDescent="0.3">
      <c r="A12" t="s">
        <v>17</v>
      </c>
      <c r="B12">
        <v>11</v>
      </c>
      <c r="C12" t="s">
        <v>47</v>
      </c>
      <c r="D12" t="s">
        <v>48</v>
      </c>
      <c r="E12">
        <v>2018</v>
      </c>
      <c r="F12" t="s">
        <v>45</v>
      </c>
      <c r="G12" t="s">
        <v>21</v>
      </c>
      <c r="H12" t="s">
        <v>15</v>
      </c>
      <c r="I12" t="s">
        <v>46</v>
      </c>
      <c r="J12">
        <v>8.4554568999999996E-2</v>
      </c>
      <c r="K12">
        <v>10.693354166666698</v>
      </c>
      <c r="L12">
        <v>109.8912</v>
      </c>
      <c r="M12">
        <v>5</v>
      </c>
      <c r="O12" t="s">
        <v>57</v>
      </c>
      <c r="P12">
        <f t="array" ref="P12">AVERAGE(IF($D$2:$D$8524=O12,$K$2:$K$8524))</f>
        <v>10.949079379692376</v>
      </c>
    </row>
    <row r="13" spans="1:16" x14ac:dyDescent="0.3">
      <c r="A13" t="s">
        <v>17</v>
      </c>
      <c r="B13">
        <v>12</v>
      </c>
      <c r="C13" t="s">
        <v>49</v>
      </c>
      <c r="D13" t="s">
        <v>19</v>
      </c>
      <c r="E13">
        <v>2017</v>
      </c>
      <c r="F13" t="s">
        <v>50</v>
      </c>
      <c r="G13" t="s">
        <v>34</v>
      </c>
      <c r="H13" t="s">
        <v>26</v>
      </c>
      <c r="I13" t="s">
        <v>16</v>
      </c>
      <c r="J13">
        <v>5.2044976E-2</v>
      </c>
      <c r="K13">
        <v>18.850000000000001</v>
      </c>
      <c r="L13">
        <v>192.18459999999999</v>
      </c>
      <c r="M13">
        <v>5</v>
      </c>
      <c r="O13" t="s">
        <v>61</v>
      </c>
      <c r="P13">
        <f t="array" ref="P13">AVERAGE(IF($D$2:$D$8524=O13,$K$2:$K$8524))</f>
        <v>11.161099222639528</v>
      </c>
    </row>
    <row r="14" spans="1:16" x14ac:dyDescent="0.3">
      <c r="A14" t="s">
        <v>17</v>
      </c>
      <c r="B14">
        <v>13</v>
      </c>
      <c r="C14" t="s">
        <v>51</v>
      </c>
      <c r="D14" t="s">
        <v>12</v>
      </c>
      <c r="E14">
        <v>2022</v>
      </c>
      <c r="F14" t="s">
        <v>20</v>
      </c>
      <c r="G14" t="s">
        <v>21</v>
      </c>
      <c r="H14" t="s">
        <v>15</v>
      </c>
      <c r="I14" t="s">
        <v>22</v>
      </c>
      <c r="J14">
        <v>0.12893766100000001</v>
      </c>
      <c r="K14">
        <v>17.100000000000001</v>
      </c>
      <c r="L14">
        <v>112.3886</v>
      </c>
      <c r="M14">
        <v>5</v>
      </c>
      <c r="O14" t="s">
        <v>64</v>
      </c>
      <c r="P14">
        <f t="array" ref="P14">AVERAGE(IF($D$2:$D$8524=O14,$K$2:$K$8524))</f>
        <v>13.35660165960576</v>
      </c>
    </row>
    <row r="15" spans="1:16" x14ac:dyDescent="0.3">
      <c r="A15" t="s">
        <v>17</v>
      </c>
      <c r="B15">
        <v>14</v>
      </c>
      <c r="C15" t="s">
        <v>52</v>
      </c>
      <c r="D15" t="s">
        <v>42</v>
      </c>
      <c r="E15">
        <v>2014</v>
      </c>
      <c r="F15" t="s">
        <v>29</v>
      </c>
      <c r="G15" t="s">
        <v>21</v>
      </c>
      <c r="H15" t="s">
        <v>30</v>
      </c>
      <c r="I15" t="s">
        <v>16</v>
      </c>
      <c r="J15">
        <v>9.0486828000000005E-2</v>
      </c>
      <c r="K15">
        <v>16.350000000000001</v>
      </c>
      <c r="L15">
        <v>195.21100000000001</v>
      </c>
      <c r="M15">
        <v>5</v>
      </c>
      <c r="O15" t="s">
        <v>159</v>
      </c>
      <c r="P15">
        <f t="array" ref="P15">AVERAGE(IF($D$2:$D$8524=O15,$K$2:$K$8524))</f>
        <v>13.488219959824676</v>
      </c>
    </row>
    <row r="16" spans="1:16" x14ac:dyDescent="0.3">
      <c r="A16" t="s">
        <v>17</v>
      </c>
      <c r="B16">
        <v>15</v>
      </c>
      <c r="C16" t="s">
        <v>53</v>
      </c>
      <c r="D16" t="s">
        <v>54</v>
      </c>
      <c r="E16">
        <v>2018</v>
      </c>
      <c r="F16" t="s">
        <v>45</v>
      </c>
      <c r="G16" t="s">
        <v>21</v>
      </c>
      <c r="H16" t="s">
        <v>15</v>
      </c>
      <c r="I16" t="s">
        <v>46</v>
      </c>
      <c r="J16">
        <v>3.2928239999999998E-2</v>
      </c>
      <c r="K16">
        <v>10.16340000000001</v>
      </c>
      <c r="L16">
        <v>173.1738</v>
      </c>
      <c r="M16">
        <v>5</v>
      </c>
      <c r="O16" t="s">
        <v>74</v>
      </c>
      <c r="P16">
        <f t="array" ref="P16">AVERAGE(IF($D$2:$D$8524=O16,$K$2:$K$8524))</f>
        <v>12.302848760330575</v>
      </c>
    </row>
    <row r="17" spans="1:18" x14ac:dyDescent="0.3">
      <c r="A17" t="s">
        <v>10</v>
      </c>
      <c r="B17">
        <v>16</v>
      </c>
      <c r="C17" t="s">
        <v>55</v>
      </c>
      <c r="D17" t="s">
        <v>12</v>
      </c>
      <c r="E17">
        <v>2017</v>
      </c>
      <c r="F17" t="s">
        <v>50</v>
      </c>
      <c r="G17" t="s">
        <v>34</v>
      </c>
      <c r="H17" t="s">
        <v>26</v>
      </c>
      <c r="I17" t="s">
        <v>16</v>
      </c>
      <c r="J17">
        <v>1.8801549000000001E-2</v>
      </c>
      <c r="K17">
        <v>20.25</v>
      </c>
      <c r="L17">
        <v>222.1772</v>
      </c>
      <c r="M17">
        <v>5</v>
      </c>
      <c r="O17" t="s">
        <v>153</v>
      </c>
      <c r="P17">
        <f t="array" ref="P17">AVERAGE(IF($D$2:$D$8524=O17,$K$2:$K$8524))</f>
        <v>12.034915771484377</v>
      </c>
    </row>
    <row r="18" spans="1:18"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8" x14ac:dyDescent="0.3">
      <c r="A19" t="s">
        <v>17</v>
      </c>
      <c r="B19">
        <v>18</v>
      </c>
      <c r="C19" t="s">
        <v>58</v>
      </c>
      <c r="D19" t="s">
        <v>42</v>
      </c>
      <c r="E19">
        <v>2012</v>
      </c>
      <c r="F19" t="s">
        <v>13</v>
      </c>
      <c r="G19" t="s">
        <v>14</v>
      </c>
      <c r="H19" t="s">
        <v>15</v>
      </c>
      <c r="I19" t="s">
        <v>16</v>
      </c>
      <c r="J19">
        <v>7.7628053000000002E-2</v>
      </c>
      <c r="K19">
        <v>19.2</v>
      </c>
      <c r="L19">
        <v>197.61099999999999</v>
      </c>
      <c r="M19">
        <v>5</v>
      </c>
    </row>
    <row r="20" spans="1:18" x14ac:dyDescent="0.3">
      <c r="A20" t="s">
        <v>17</v>
      </c>
      <c r="B20">
        <v>19</v>
      </c>
      <c r="C20" t="s">
        <v>59</v>
      </c>
      <c r="D20" t="s">
        <v>12</v>
      </c>
      <c r="E20">
        <v>2018</v>
      </c>
      <c r="F20" t="s">
        <v>45</v>
      </c>
      <c r="G20" t="s">
        <v>21</v>
      </c>
      <c r="H20" t="s">
        <v>15</v>
      </c>
      <c r="I20" t="s">
        <v>46</v>
      </c>
      <c r="J20">
        <v>0.18251488099999999</v>
      </c>
      <c r="K20">
        <v>10.938344155844197</v>
      </c>
      <c r="L20">
        <v>98.77</v>
      </c>
      <c r="M20">
        <v>5</v>
      </c>
      <c r="P20" s="4">
        <f>SUM('Blinkit Grocery Data'!L2:L8524)</f>
        <v>1201681.4928000034</v>
      </c>
      <c r="R20" s="4">
        <v>1201681.4927999999</v>
      </c>
    </row>
    <row r="21" spans="1:18" x14ac:dyDescent="0.3">
      <c r="A21" t="s">
        <v>17</v>
      </c>
      <c r="B21">
        <v>20</v>
      </c>
      <c r="C21" t="s">
        <v>60</v>
      </c>
      <c r="D21" t="s">
        <v>61</v>
      </c>
      <c r="E21">
        <v>2022</v>
      </c>
      <c r="F21" t="s">
        <v>20</v>
      </c>
      <c r="G21" t="s">
        <v>21</v>
      </c>
      <c r="H21" t="s">
        <v>15</v>
      </c>
      <c r="I21" t="s">
        <v>22</v>
      </c>
      <c r="J21">
        <v>1.6895292999999999E-2</v>
      </c>
      <c r="K21">
        <v>12.1</v>
      </c>
      <c r="L21">
        <v>178.566</v>
      </c>
      <c r="M21">
        <v>5</v>
      </c>
    </row>
    <row r="22" spans="1:18" x14ac:dyDescent="0.3">
      <c r="A22" t="s">
        <v>10</v>
      </c>
      <c r="B22">
        <v>21</v>
      </c>
      <c r="C22" t="s">
        <v>62</v>
      </c>
      <c r="D22" t="s">
        <v>12</v>
      </c>
      <c r="E22">
        <v>2018</v>
      </c>
      <c r="F22" t="s">
        <v>45</v>
      </c>
      <c r="G22" t="s">
        <v>21</v>
      </c>
      <c r="H22" t="s">
        <v>15</v>
      </c>
      <c r="I22" t="s">
        <v>46</v>
      </c>
      <c r="J22">
        <v>0</v>
      </c>
      <c r="K22">
        <v>10.938344155844197</v>
      </c>
      <c r="L22">
        <v>60.2194</v>
      </c>
      <c r="M22">
        <v>5</v>
      </c>
      <c r="P22" s="5">
        <f>AVERAGE('Blinkit Grocery Data'!L2:L8524)</f>
        <v>140.99278338613203</v>
      </c>
      <c r="R22" s="5">
        <v>140.99278338613203</v>
      </c>
    </row>
    <row r="23" spans="1:18" x14ac:dyDescent="0.3">
      <c r="A23" t="s">
        <v>17</v>
      </c>
      <c r="B23">
        <v>22</v>
      </c>
      <c r="C23" t="s">
        <v>63</v>
      </c>
      <c r="D23" t="s">
        <v>64</v>
      </c>
      <c r="E23">
        <v>2018</v>
      </c>
      <c r="F23" t="s">
        <v>45</v>
      </c>
      <c r="G23" t="s">
        <v>21</v>
      </c>
      <c r="H23" t="s">
        <v>15</v>
      </c>
      <c r="I23" t="s">
        <v>46</v>
      </c>
      <c r="J23">
        <v>2.6916794000000001E-2</v>
      </c>
      <c r="K23">
        <v>11.230177514792899</v>
      </c>
      <c r="L23">
        <v>50.9666</v>
      </c>
      <c r="M23">
        <v>5</v>
      </c>
    </row>
    <row r="24" spans="1:18" x14ac:dyDescent="0.3">
      <c r="A24" t="s">
        <v>17</v>
      </c>
      <c r="B24">
        <v>23</v>
      </c>
      <c r="C24" t="s">
        <v>65</v>
      </c>
      <c r="D24" t="s">
        <v>24</v>
      </c>
      <c r="E24">
        <v>2022</v>
      </c>
      <c r="F24" t="s">
        <v>20</v>
      </c>
      <c r="G24" t="s">
        <v>21</v>
      </c>
      <c r="H24" t="s">
        <v>15</v>
      </c>
      <c r="I24" t="s">
        <v>22</v>
      </c>
      <c r="J24">
        <v>2.2976496999999999E-2</v>
      </c>
      <c r="K24">
        <v>6.85</v>
      </c>
      <c r="L24">
        <v>261.65940000000001</v>
      </c>
      <c r="M24">
        <v>5</v>
      </c>
      <c r="P24">
        <f>COUNTA('Blinkit Grocery Data'!C2:C8524)</f>
        <v>8523</v>
      </c>
      <c r="R24">
        <f>COUNTA('Blinkit Grocery Data'!E2:E8524)</f>
        <v>8523</v>
      </c>
    </row>
    <row r="25" spans="1:18" x14ac:dyDescent="0.3">
      <c r="A25" t="s">
        <v>17</v>
      </c>
      <c r="B25">
        <v>24</v>
      </c>
      <c r="C25" t="s">
        <v>66</v>
      </c>
      <c r="D25" t="s">
        <v>67</v>
      </c>
      <c r="E25">
        <v>2022</v>
      </c>
      <c r="F25" t="s">
        <v>20</v>
      </c>
      <c r="G25" t="s">
        <v>21</v>
      </c>
      <c r="H25" t="s">
        <v>15</v>
      </c>
      <c r="I25" t="s">
        <v>22</v>
      </c>
      <c r="J25">
        <v>4.2413704000000003E-2</v>
      </c>
      <c r="K25">
        <v>17.25</v>
      </c>
      <c r="L25">
        <v>173.1764</v>
      </c>
      <c r="M25">
        <v>5</v>
      </c>
    </row>
    <row r="26" spans="1:18" x14ac:dyDescent="0.3">
      <c r="A26" t="s">
        <v>10</v>
      </c>
      <c r="B26">
        <v>25</v>
      </c>
      <c r="C26" t="s">
        <v>68</v>
      </c>
      <c r="D26" t="s">
        <v>67</v>
      </c>
      <c r="E26">
        <v>2020</v>
      </c>
      <c r="F26" t="s">
        <v>37</v>
      </c>
      <c r="G26" t="s">
        <v>34</v>
      </c>
      <c r="H26" t="s">
        <v>15</v>
      </c>
      <c r="I26" t="s">
        <v>16</v>
      </c>
      <c r="J26">
        <v>6.5431917000000006E-2</v>
      </c>
      <c r="K26">
        <v>16</v>
      </c>
      <c r="L26">
        <v>76.198599999999999</v>
      </c>
      <c r="M26">
        <v>5</v>
      </c>
    </row>
    <row r="27" spans="1:18" x14ac:dyDescent="0.3">
      <c r="A27" t="s">
        <v>17</v>
      </c>
      <c r="B27">
        <v>26</v>
      </c>
      <c r="C27" t="s">
        <v>69</v>
      </c>
      <c r="D27" t="s">
        <v>24</v>
      </c>
      <c r="E27">
        <v>2020</v>
      </c>
      <c r="F27" t="s">
        <v>37</v>
      </c>
      <c r="G27" t="s">
        <v>34</v>
      </c>
      <c r="H27" t="s">
        <v>15</v>
      </c>
      <c r="I27" t="s">
        <v>16</v>
      </c>
      <c r="J27">
        <v>0.140241213</v>
      </c>
      <c r="K27">
        <v>13.35</v>
      </c>
      <c r="L27">
        <v>150.23920000000001</v>
      </c>
      <c r="M27">
        <v>5</v>
      </c>
      <c r="P27" s="3">
        <f>AVERAGE('Blinkit Grocery Data'!M2:M8524)</f>
        <v>3.9658570925731196</v>
      </c>
      <c r="R27" s="3">
        <v>3.9658570925731196</v>
      </c>
    </row>
    <row r="28" spans="1:18"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8" x14ac:dyDescent="0.3">
      <c r="A29" t="s">
        <v>10</v>
      </c>
      <c r="B29">
        <v>28</v>
      </c>
      <c r="C29" t="s">
        <v>71</v>
      </c>
      <c r="D29" t="s">
        <v>12</v>
      </c>
      <c r="E29">
        <v>2018</v>
      </c>
      <c r="F29" t="s">
        <v>45</v>
      </c>
      <c r="G29" t="s">
        <v>21</v>
      </c>
      <c r="H29" t="s">
        <v>15</v>
      </c>
      <c r="I29" t="s">
        <v>46</v>
      </c>
      <c r="J29">
        <v>1.6516275E-2</v>
      </c>
      <c r="K29">
        <v>10.938344155844197</v>
      </c>
      <c r="L29">
        <v>47.403399999999998</v>
      </c>
      <c r="M29">
        <v>5</v>
      </c>
    </row>
    <row r="30" spans="1:18"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8" x14ac:dyDescent="0.3">
      <c r="A31" t="s">
        <v>10</v>
      </c>
      <c r="B31">
        <v>30</v>
      </c>
      <c r="C31" t="s">
        <v>73</v>
      </c>
      <c r="D31" t="s">
        <v>74</v>
      </c>
      <c r="E31">
        <v>2012</v>
      </c>
      <c r="F31" t="s">
        <v>13</v>
      </c>
      <c r="G31" t="s">
        <v>14</v>
      </c>
      <c r="H31" t="s">
        <v>15</v>
      </c>
      <c r="I31" t="s">
        <v>16</v>
      </c>
      <c r="J31">
        <v>0.131128467</v>
      </c>
      <c r="K31">
        <v>6.92</v>
      </c>
      <c r="L31">
        <v>93.180400000000006</v>
      </c>
      <c r="M31">
        <v>5</v>
      </c>
    </row>
    <row r="32" spans="1:18"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K43">
        <v>10.938344155844197</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K93">
        <v>11.230177514792899</v>
      </c>
      <c r="L93">
        <v>108.22799999999999</v>
      </c>
      <c r="M93">
        <v>5</v>
      </c>
    </row>
    <row r="94" spans="1:13" x14ac:dyDescent="0.3">
      <c r="A94" t="s">
        <v>17</v>
      </c>
      <c r="B94">
        <v>93</v>
      </c>
      <c r="C94" t="s">
        <v>139</v>
      </c>
      <c r="D94" t="s">
        <v>28</v>
      </c>
      <c r="E94">
        <v>2018</v>
      </c>
      <c r="F94" t="s">
        <v>138</v>
      </c>
      <c r="G94" t="s">
        <v>14</v>
      </c>
      <c r="H94" t="s">
        <v>26</v>
      </c>
      <c r="I94" t="s">
        <v>40</v>
      </c>
      <c r="J94">
        <v>0.196490902</v>
      </c>
      <c r="K94">
        <v>10.219992295839765</v>
      </c>
      <c r="L94">
        <v>120.544</v>
      </c>
      <c r="M94">
        <v>5</v>
      </c>
    </row>
    <row r="95" spans="1:13" x14ac:dyDescent="0.3">
      <c r="A95" t="s">
        <v>17</v>
      </c>
      <c r="B95">
        <v>94</v>
      </c>
      <c r="C95" t="s">
        <v>140</v>
      </c>
      <c r="D95" t="s">
        <v>67</v>
      </c>
      <c r="E95">
        <v>2018</v>
      </c>
      <c r="F95" t="s">
        <v>138</v>
      </c>
      <c r="G95" t="s">
        <v>14</v>
      </c>
      <c r="H95" t="s">
        <v>26</v>
      </c>
      <c r="I95" t="s">
        <v>40</v>
      </c>
      <c r="J95">
        <v>0.24749009</v>
      </c>
      <c r="K95">
        <v>11.142456011730232</v>
      </c>
      <c r="L95">
        <v>263.1884</v>
      </c>
      <c r="M95">
        <v>5</v>
      </c>
    </row>
    <row r="96" spans="1:13" x14ac:dyDescent="0.3">
      <c r="A96" t="s">
        <v>17</v>
      </c>
      <c r="B96">
        <v>95</v>
      </c>
      <c r="C96" t="s">
        <v>141</v>
      </c>
      <c r="D96" t="s">
        <v>12</v>
      </c>
      <c r="E96">
        <v>2018</v>
      </c>
      <c r="F96" t="s">
        <v>138</v>
      </c>
      <c r="G96" t="s">
        <v>14</v>
      </c>
      <c r="H96" t="s">
        <v>26</v>
      </c>
      <c r="I96" t="s">
        <v>40</v>
      </c>
      <c r="J96">
        <v>3.7824734999999998E-2</v>
      </c>
      <c r="K96">
        <v>10.938344155844197</v>
      </c>
      <c r="L96">
        <v>109.72280000000001</v>
      </c>
      <c r="M96">
        <v>5</v>
      </c>
    </row>
    <row r="97" spans="1:13" x14ac:dyDescent="0.3">
      <c r="A97" t="s">
        <v>17</v>
      </c>
      <c r="B97">
        <v>96</v>
      </c>
      <c r="C97" t="s">
        <v>142</v>
      </c>
      <c r="D97" t="s">
        <v>12</v>
      </c>
      <c r="E97">
        <v>2018</v>
      </c>
      <c r="F97" t="s">
        <v>138</v>
      </c>
      <c r="G97" t="s">
        <v>14</v>
      </c>
      <c r="H97" t="s">
        <v>26</v>
      </c>
      <c r="I97" t="s">
        <v>40</v>
      </c>
      <c r="J97">
        <v>0.14210799800000001</v>
      </c>
      <c r="K97">
        <v>10.938344155844197</v>
      </c>
      <c r="L97">
        <v>150.3734</v>
      </c>
      <c r="M97">
        <v>5</v>
      </c>
    </row>
    <row r="98" spans="1:13" x14ac:dyDescent="0.3">
      <c r="A98" t="s">
        <v>17</v>
      </c>
      <c r="B98">
        <v>97</v>
      </c>
      <c r="C98" t="s">
        <v>143</v>
      </c>
      <c r="D98" t="s">
        <v>12</v>
      </c>
      <c r="E98">
        <v>2018</v>
      </c>
      <c r="F98" t="s">
        <v>138</v>
      </c>
      <c r="G98" t="s">
        <v>14</v>
      </c>
      <c r="H98" t="s">
        <v>26</v>
      </c>
      <c r="I98" t="s">
        <v>40</v>
      </c>
      <c r="J98">
        <v>4.5062129999999999E-2</v>
      </c>
      <c r="K98">
        <v>10.938344155844197</v>
      </c>
      <c r="L98">
        <v>167.54740000000001</v>
      </c>
      <c r="M98">
        <v>5</v>
      </c>
    </row>
    <row r="99" spans="1:13" x14ac:dyDescent="0.3">
      <c r="A99" t="s">
        <v>17</v>
      </c>
      <c r="B99">
        <v>98</v>
      </c>
      <c r="C99" t="s">
        <v>144</v>
      </c>
      <c r="D99" t="s">
        <v>19</v>
      </c>
      <c r="E99">
        <v>2018</v>
      </c>
      <c r="F99" t="s">
        <v>138</v>
      </c>
      <c r="G99" t="s">
        <v>14</v>
      </c>
      <c r="H99" t="s">
        <v>26</v>
      </c>
      <c r="I99" t="s">
        <v>40</v>
      </c>
      <c r="J99">
        <v>4.4000492000000002E-2</v>
      </c>
      <c r="K99">
        <v>10.867682692307703</v>
      </c>
      <c r="L99">
        <v>148.27340000000001</v>
      </c>
      <c r="M99">
        <v>5</v>
      </c>
    </row>
    <row r="100" spans="1:13" x14ac:dyDescent="0.3">
      <c r="A100" t="s">
        <v>17</v>
      </c>
      <c r="B100">
        <v>99</v>
      </c>
      <c r="C100" t="s">
        <v>145</v>
      </c>
      <c r="D100" t="s">
        <v>19</v>
      </c>
      <c r="E100">
        <v>2018</v>
      </c>
      <c r="F100" t="s">
        <v>138</v>
      </c>
      <c r="G100" t="s">
        <v>14</v>
      </c>
      <c r="H100" t="s">
        <v>26</v>
      </c>
      <c r="I100" t="s">
        <v>40</v>
      </c>
      <c r="J100">
        <v>0</v>
      </c>
      <c r="K100">
        <v>10.867682692307703</v>
      </c>
      <c r="L100">
        <v>123.473</v>
      </c>
      <c r="M100">
        <v>5</v>
      </c>
    </row>
    <row r="101" spans="1:13" x14ac:dyDescent="0.3">
      <c r="A101" t="s">
        <v>17</v>
      </c>
      <c r="B101">
        <v>100</v>
      </c>
      <c r="C101" t="s">
        <v>146</v>
      </c>
      <c r="D101" t="s">
        <v>19</v>
      </c>
      <c r="E101">
        <v>2018</v>
      </c>
      <c r="F101" t="s">
        <v>138</v>
      </c>
      <c r="G101" t="s">
        <v>14</v>
      </c>
      <c r="H101" t="s">
        <v>26</v>
      </c>
      <c r="I101" t="s">
        <v>40</v>
      </c>
      <c r="J101">
        <v>4.4607722000000002E-2</v>
      </c>
      <c r="K101">
        <v>10.867682692307703</v>
      </c>
      <c r="L101">
        <v>145.976</v>
      </c>
      <c r="M101">
        <v>5</v>
      </c>
    </row>
    <row r="102" spans="1:13" x14ac:dyDescent="0.3">
      <c r="A102" t="s">
        <v>17</v>
      </c>
      <c r="B102">
        <v>101</v>
      </c>
      <c r="C102" t="s">
        <v>147</v>
      </c>
      <c r="D102" t="s">
        <v>19</v>
      </c>
      <c r="E102">
        <v>2018</v>
      </c>
      <c r="F102" t="s">
        <v>138</v>
      </c>
      <c r="G102" t="s">
        <v>14</v>
      </c>
      <c r="H102" t="s">
        <v>26</v>
      </c>
      <c r="I102" t="s">
        <v>40</v>
      </c>
      <c r="J102">
        <v>3.1024168000000001E-2</v>
      </c>
      <c r="K102">
        <v>10.867682692307703</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K103">
        <v>11.163752747252786</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K104">
        <v>11.163752747252786</v>
      </c>
      <c r="L104">
        <v>244.346</v>
      </c>
      <c r="M104">
        <v>5</v>
      </c>
    </row>
    <row r="105" spans="1:13" x14ac:dyDescent="0.3">
      <c r="A105" t="s">
        <v>17</v>
      </c>
      <c r="B105">
        <v>104</v>
      </c>
      <c r="C105" t="s">
        <v>52</v>
      </c>
      <c r="D105" t="s">
        <v>42</v>
      </c>
      <c r="E105">
        <v>2018</v>
      </c>
      <c r="F105" t="s">
        <v>138</v>
      </c>
      <c r="G105" t="s">
        <v>14</v>
      </c>
      <c r="H105" t="s">
        <v>26</v>
      </c>
      <c r="I105" t="s">
        <v>40</v>
      </c>
      <c r="J105">
        <v>0.158562708</v>
      </c>
      <c r="K105">
        <v>11.163752747252786</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K106">
        <v>11.163752747252786</v>
      </c>
      <c r="L106">
        <v>167.7842</v>
      </c>
      <c r="M106">
        <v>5</v>
      </c>
    </row>
    <row r="107" spans="1:13" x14ac:dyDescent="0.3">
      <c r="A107" t="s">
        <v>17</v>
      </c>
      <c r="B107">
        <v>106</v>
      </c>
      <c r="C107" t="s">
        <v>151</v>
      </c>
      <c r="D107" t="s">
        <v>54</v>
      </c>
      <c r="E107">
        <v>2018</v>
      </c>
      <c r="F107" t="s">
        <v>138</v>
      </c>
      <c r="G107" t="s">
        <v>14</v>
      </c>
      <c r="H107" t="s">
        <v>26</v>
      </c>
      <c r="I107" t="s">
        <v>40</v>
      </c>
      <c r="J107">
        <v>2.9299175E-2</v>
      </c>
      <c r="K107">
        <v>10.16340000000001</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K108">
        <v>10.003046875000003</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K109">
        <v>10.33063636363636</v>
      </c>
      <c r="L109">
        <v>232.73</v>
      </c>
      <c r="M109">
        <v>5</v>
      </c>
    </row>
    <row r="110" spans="1:13" x14ac:dyDescent="0.3">
      <c r="A110" t="s">
        <v>10</v>
      </c>
      <c r="B110">
        <v>109</v>
      </c>
      <c r="C110" t="s">
        <v>155</v>
      </c>
      <c r="D110" t="s">
        <v>28</v>
      </c>
      <c r="E110">
        <v>2018</v>
      </c>
      <c r="F110" t="s">
        <v>138</v>
      </c>
      <c r="G110" t="s">
        <v>14</v>
      </c>
      <c r="H110" t="s">
        <v>26</v>
      </c>
      <c r="I110" t="s">
        <v>40</v>
      </c>
      <c r="J110">
        <v>0.18223655499999999</v>
      </c>
      <c r="K110">
        <v>10.219992295839765</v>
      </c>
      <c r="L110">
        <v>107.1622</v>
      </c>
      <c r="M110">
        <v>5</v>
      </c>
    </row>
    <row r="111" spans="1:13" x14ac:dyDescent="0.3">
      <c r="A111" t="s">
        <v>10</v>
      </c>
      <c r="B111">
        <v>110</v>
      </c>
      <c r="C111" t="s">
        <v>156</v>
      </c>
      <c r="D111" t="s">
        <v>12</v>
      </c>
      <c r="E111">
        <v>2018</v>
      </c>
      <c r="F111" t="s">
        <v>138</v>
      </c>
      <c r="G111" t="s">
        <v>14</v>
      </c>
      <c r="H111" t="s">
        <v>26</v>
      </c>
      <c r="I111" t="s">
        <v>40</v>
      </c>
      <c r="J111">
        <v>0.20916293599999999</v>
      </c>
      <c r="K111">
        <v>10.938344155844197</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K112">
        <v>10.16340000000001</v>
      </c>
      <c r="L112">
        <v>101.399</v>
      </c>
      <c r="M112">
        <v>5</v>
      </c>
    </row>
    <row r="113" spans="1:13" x14ac:dyDescent="0.3">
      <c r="A113" t="s">
        <v>10</v>
      </c>
      <c r="B113">
        <v>112</v>
      </c>
      <c r="C113" t="s">
        <v>158</v>
      </c>
      <c r="D113" t="s">
        <v>159</v>
      </c>
      <c r="E113">
        <v>2018</v>
      </c>
      <c r="F113" t="s">
        <v>138</v>
      </c>
      <c r="G113" t="s">
        <v>14</v>
      </c>
      <c r="H113" t="s">
        <v>26</v>
      </c>
      <c r="I113" t="s">
        <v>40</v>
      </c>
      <c r="J113">
        <v>1.2327846999999999E-2</v>
      </c>
      <c r="K113">
        <v>12.025641891891883</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K114">
        <v>10.219992295839765</v>
      </c>
      <c r="L114">
        <v>103.76739999999999</v>
      </c>
      <c r="M114">
        <v>5</v>
      </c>
    </row>
    <row r="115" spans="1:13" x14ac:dyDescent="0.3">
      <c r="A115" t="s">
        <v>10</v>
      </c>
      <c r="B115">
        <v>114</v>
      </c>
      <c r="C115" t="s">
        <v>161</v>
      </c>
      <c r="D115" t="s">
        <v>24</v>
      </c>
      <c r="E115">
        <v>2018</v>
      </c>
      <c r="F115" t="s">
        <v>138</v>
      </c>
      <c r="G115" t="s">
        <v>14</v>
      </c>
      <c r="H115" t="s">
        <v>26</v>
      </c>
      <c r="I115" t="s">
        <v>40</v>
      </c>
      <c r="J115">
        <v>0</v>
      </c>
      <c r="K115">
        <v>10.792698598130867</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K395">
        <v>10.219992295839765</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K396">
        <v>10.219992295839765</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K397">
        <v>10.792698598130867</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K398">
        <v>10.792698598130867</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K399">
        <v>10.792698598130867</v>
      </c>
      <c r="L399">
        <v>148.9392</v>
      </c>
      <c r="M399">
        <v>5</v>
      </c>
    </row>
    <row r="400" spans="1:13" x14ac:dyDescent="0.3">
      <c r="A400" t="s">
        <v>17</v>
      </c>
      <c r="B400">
        <v>399</v>
      </c>
      <c r="C400" t="s">
        <v>408</v>
      </c>
      <c r="D400" t="s">
        <v>24</v>
      </c>
      <c r="E400">
        <v>2018</v>
      </c>
      <c r="F400" t="s">
        <v>45</v>
      </c>
      <c r="G400" t="s">
        <v>21</v>
      </c>
      <c r="H400" t="s">
        <v>15</v>
      </c>
      <c r="I400" t="s">
        <v>46</v>
      </c>
      <c r="J400">
        <v>9.5331432999999993E-2</v>
      </c>
      <c r="K400">
        <v>10.792698598130867</v>
      </c>
      <c r="L400">
        <v>125.56780000000001</v>
      </c>
      <c r="M400">
        <v>5</v>
      </c>
    </row>
    <row r="401" spans="1:13" x14ac:dyDescent="0.3">
      <c r="A401" t="s">
        <v>17</v>
      </c>
      <c r="B401">
        <v>400</v>
      </c>
      <c r="C401" t="s">
        <v>409</v>
      </c>
      <c r="D401" t="s">
        <v>12</v>
      </c>
      <c r="E401">
        <v>2018</v>
      </c>
      <c r="F401" t="s">
        <v>45</v>
      </c>
      <c r="G401" t="s">
        <v>21</v>
      </c>
      <c r="H401" t="s">
        <v>15</v>
      </c>
      <c r="I401" t="s">
        <v>46</v>
      </c>
      <c r="J401">
        <v>0</v>
      </c>
      <c r="K401">
        <v>10.938344155844197</v>
      </c>
      <c r="L401">
        <v>231.96420000000001</v>
      </c>
      <c r="M401">
        <v>5</v>
      </c>
    </row>
    <row r="402" spans="1:13" x14ac:dyDescent="0.3">
      <c r="A402" t="s">
        <v>17</v>
      </c>
      <c r="B402">
        <v>401</v>
      </c>
      <c r="C402" t="s">
        <v>43</v>
      </c>
      <c r="D402" t="s">
        <v>12</v>
      </c>
      <c r="E402">
        <v>2018</v>
      </c>
      <c r="F402" t="s">
        <v>45</v>
      </c>
      <c r="G402" t="s">
        <v>21</v>
      </c>
      <c r="H402" t="s">
        <v>15</v>
      </c>
      <c r="I402" t="s">
        <v>46</v>
      </c>
      <c r="J402">
        <v>2.4032484E-2</v>
      </c>
      <c r="K402">
        <v>10.938344155844197</v>
      </c>
      <c r="L402">
        <v>124.973</v>
      </c>
      <c r="M402">
        <v>5</v>
      </c>
    </row>
    <row r="403" spans="1:13" x14ac:dyDescent="0.3">
      <c r="A403" t="s">
        <v>17</v>
      </c>
      <c r="B403">
        <v>402</v>
      </c>
      <c r="C403" t="s">
        <v>60</v>
      </c>
      <c r="D403" t="s">
        <v>61</v>
      </c>
      <c r="E403">
        <v>2018</v>
      </c>
      <c r="F403" t="s">
        <v>45</v>
      </c>
      <c r="G403" t="s">
        <v>21</v>
      </c>
      <c r="H403" t="s">
        <v>15</v>
      </c>
      <c r="I403" t="s">
        <v>46</v>
      </c>
      <c r="J403">
        <v>1.6745263999999999E-2</v>
      </c>
      <c r="K403">
        <v>9.7488785046728896</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K404">
        <v>10.867682692307703</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K405">
        <v>11.163752747252786</v>
      </c>
      <c r="L405">
        <v>53.495600000000003</v>
      </c>
      <c r="M405">
        <v>5</v>
      </c>
    </row>
    <row r="406" spans="1:13" x14ac:dyDescent="0.3">
      <c r="A406" t="s">
        <v>17</v>
      </c>
      <c r="B406">
        <v>405</v>
      </c>
      <c r="C406" t="s">
        <v>412</v>
      </c>
      <c r="D406" t="s">
        <v>42</v>
      </c>
      <c r="E406">
        <v>2018</v>
      </c>
      <c r="F406" t="s">
        <v>45</v>
      </c>
      <c r="G406" t="s">
        <v>21</v>
      </c>
      <c r="H406" t="s">
        <v>15</v>
      </c>
      <c r="I406" t="s">
        <v>46</v>
      </c>
      <c r="J406">
        <v>0.12929931</v>
      </c>
      <c r="K406">
        <v>11.163752747252786</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K407">
        <v>11.163752747252786</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K408">
        <v>11.163752747252786</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K409">
        <v>11.163752747252786</v>
      </c>
      <c r="L409">
        <v>39.279600000000002</v>
      </c>
      <c r="M409">
        <v>5</v>
      </c>
    </row>
    <row r="410" spans="1:13" x14ac:dyDescent="0.3">
      <c r="A410" t="s">
        <v>17</v>
      </c>
      <c r="B410">
        <v>409</v>
      </c>
      <c r="C410" t="s">
        <v>382</v>
      </c>
      <c r="D410" t="s">
        <v>42</v>
      </c>
      <c r="E410">
        <v>2018</v>
      </c>
      <c r="F410" t="s">
        <v>45</v>
      </c>
      <c r="G410" t="s">
        <v>21</v>
      </c>
      <c r="H410" t="s">
        <v>15</v>
      </c>
      <c r="I410" t="s">
        <v>46</v>
      </c>
      <c r="J410">
        <v>1.4153743E-2</v>
      </c>
      <c r="K410">
        <v>11.163752747252786</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K411">
        <v>11.163752747252786</v>
      </c>
      <c r="L411">
        <v>166.54740000000001</v>
      </c>
      <c r="M411">
        <v>5</v>
      </c>
    </row>
    <row r="412" spans="1:13" x14ac:dyDescent="0.3">
      <c r="A412" t="s">
        <v>17</v>
      </c>
      <c r="B412">
        <v>411</v>
      </c>
      <c r="C412" t="s">
        <v>415</v>
      </c>
      <c r="D412" t="s">
        <v>64</v>
      </c>
      <c r="E412">
        <v>2018</v>
      </c>
      <c r="F412" t="s">
        <v>45</v>
      </c>
      <c r="G412" t="s">
        <v>21</v>
      </c>
      <c r="H412" t="s">
        <v>15</v>
      </c>
      <c r="I412" t="s">
        <v>46</v>
      </c>
      <c r="J412">
        <v>0.117607719</v>
      </c>
      <c r="K412">
        <v>11.230177514792899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K413">
        <v>10.693354166666698</v>
      </c>
      <c r="L413">
        <v>154.7998</v>
      </c>
      <c r="M413">
        <v>5</v>
      </c>
    </row>
    <row r="414" spans="1:13" x14ac:dyDescent="0.3">
      <c r="A414" t="s">
        <v>17</v>
      </c>
      <c r="B414">
        <v>413</v>
      </c>
      <c r="C414" t="s">
        <v>417</v>
      </c>
      <c r="D414" t="s">
        <v>48</v>
      </c>
      <c r="E414">
        <v>2018</v>
      </c>
      <c r="F414" t="s">
        <v>45</v>
      </c>
      <c r="G414" t="s">
        <v>21</v>
      </c>
      <c r="H414" t="s">
        <v>15</v>
      </c>
      <c r="I414" t="s">
        <v>46</v>
      </c>
      <c r="J414">
        <v>9.9478450999999996E-2</v>
      </c>
      <c r="K414">
        <v>10.693354166666698</v>
      </c>
      <c r="L414">
        <v>194.4452</v>
      </c>
      <c r="M414">
        <v>5</v>
      </c>
    </row>
    <row r="415" spans="1:13" x14ac:dyDescent="0.3">
      <c r="A415" t="s">
        <v>17</v>
      </c>
      <c r="B415">
        <v>414</v>
      </c>
      <c r="C415" t="s">
        <v>418</v>
      </c>
      <c r="D415" t="s">
        <v>48</v>
      </c>
      <c r="E415">
        <v>2018</v>
      </c>
      <c r="F415" t="s">
        <v>45</v>
      </c>
      <c r="G415" t="s">
        <v>21</v>
      </c>
      <c r="H415" t="s">
        <v>15</v>
      </c>
      <c r="I415" t="s">
        <v>46</v>
      </c>
      <c r="J415">
        <v>3.3725743000000002E-2</v>
      </c>
      <c r="K415">
        <v>10.693354166666698</v>
      </c>
      <c r="L415">
        <v>211.6902</v>
      </c>
      <c r="M415">
        <v>5</v>
      </c>
    </row>
    <row r="416" spans="1:13" x14ac:dyDescent="0.3">
      <c r="A416" t="s">
        <v>17</v>
      </c>
      <c r="B416">
        <v>415</v>
      </c>
      <c r="C416" t="s">
        <v>356</v>
      </c>
      <c r="D416" t="s">
        <v>32</v>
      </c>
      <c r="E416">
        <v>2018</v>
      </c>
      <c r="F416" t="s">
        <v>45</v>
      </c>
      <c r="G416" t="s">
        <v>21</v>
      </c>
      <c r="H416" t="s">
        <v>15</v>
      </c>
      <c r="I416" t="s">
        <v>46</v>
      </c>
      <c r="J416">
        <v>5.3113721000000003E-2</v>
      </c>
      <c r="K416">
        <v>9.9571910112359632</v>
      </c>
      <c r="L416">
        <v>44.377000000000002</v>
      </c>
      <c r="M416">
        <v>5</v>
      </c>
    </row>
    <row r="417" spans="1:13" x14ac:dyDescent="0.3">
      <c r="A417" t="s">
        <v>10</v>
      </c>
      <c r="B417">
        <v>416</v>
      </c>
      <c r="C417" t="s">
        <v>419</v>
      </c>
      <c r="D417" t="s">
        <v>95</v>
      </c>
      <c r="E417">
        <v>2018</v>
      </c>
      <c r="F417" t="s">
        <v>45</v>
      </c>
      <c r="G417" t="s">
        <v>21</v>
      </c>
      <c r="H417" t="s">
        <v>15</v>
      </c>
      <c r="I417" t="s">
        <v>46</v>
      </c>
      <c r="J417">
        <v>0</v>
      </c>
      <c r="K417">
        <v>10.155138888888908</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K418">
        <v>10.155138888888908</v>
      </c>
      <c r="L418">
        <v>122.4098</v>
      </c>
      <c r="M418">
        <v>5</v>
      </c>
    </row>
    <row r="419" spans="1:13" x14ac:dyDescent="0.3">
      <c r="A419" t="s">
        <v>10</v>
      </c>
      <c r="B419">
        <v>418</v>
      </c>
      <c r="C419" t="s">
        <v>421</v>
      </c>
      <c r="D419" t="s">
        <v>95</v>
      </c>
      <c r="E419">
        <v>2018</v>
      </c>
      <c r="F419" t="s">
        <v>45</v>
      </c>
      <c r="G419" t="s">
        <v>21</v>
      </c>
      <c r="H419" t="s">
        <v>15</v>
      </c>
      <c r="I419" t="s">
        <v>46</v>
      </c>
      <c r="J419">
        <v>0.13948429200000001</v>
      </c>
      <c r="K419">
        <v>10.155138888888908</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K420">
        <v>10.33063636363636</v>
      </c>
      <c r="L420">
        <v>169.34739999999999</v>
      </c>
      <c r="M420">
        <v>5</v>
      </c>
    </row>
    <row r="421" spans="1:13" x14ac:dyDescent="0.3">
      <c r="A421" t="s">
        <v>10</v>
      </c>
      <c r="B421">
        <v>420</v>
      </c>
      <c r="C421" t="s">
        <v>423</v>
      </c>
      <c r="D421" t="s">
        <v>28</v>
      </c>
      <c r="E421">
        <v>2018</v>
      </c>
      <c r="F421" t="s">
        <v>45</v>
      </c>
      <c r="G421" t="s">
        <v>21</v>
      </c>
      <c r="H421" t="s">
        <v>15</v>
      </c>
      <c r="I421" t="s">
        <v>46</v>
      </c>
      <c r="J421">
        <v>0.102226474</v>
      </c>
      <c r="K421">
        <v>10.219992295839765</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K422">
        <v>10.219992295839765</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K423">
        <v>11.142456011730232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K424">
        <v>10.792698598130867</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K425">
        <v>10.938344155844197</v>
      </c>
      <c r="L425">
        <v>172.108</v>
      </c>
      <c r="M425">
        <v>5</v>
      </c>
    </row>
    <row r="426" spans="1:13" x14ac:dyDescent="0.3">
      <c r="A426" t="s">
        <v>10</v>
      </c>
      <c r="B426">
        <v>425</v>
      </c>
      <c r="C426" t="s">
        <v>427</v>
      </c>
      <c r="D426" t="s">
        <v>12</v>
      </c>
      <c r="E426">
        <v>2018</v>
      </c>
      <c r="F426" t="s">
        <v>45</v>
      </c>
      <c r="G426" t="s">
        <v>21</v>
      </c>
      <c r="H426" t="s">
        <v>15</v>
      </c>
      <c r="I426" t="s">
        <v>46</v>
      </c>
      <c r="J426">
        <v>3.8313980999999997E-2</v>
      </c>
      <c r="K426">
        <v>10.938344155844197</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K427">
        <v>10.16340000000001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K428">
        <v>10.693354166666698</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K431">
        <v>10.792698598130867</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K442">
        <v>10.792698598130867</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K443">
        <v>10.867682692307703</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K451">
        <v>10.155138888888908</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K459">
        <v>10.792698598130867</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K460">
        <v>10.155138888888908</v>
      </c>
      <c r="L460">
        <v>230.001</v>
      </c>
      <c r="M460">
        <v>4.8</v>
      </c>
    </row>
    <row r="461" spans="1:13" x14ac:dyDescent="0.3">
      <c r="A461" t="s">
        <v>17</v>
      </c>
      <c r="B461">
        <v>460</v>
      </c>
      <c r="C461" t="s">
        <v>454</v>
      </c>
      <c r="D461" t="s">
        <v>67</v>
      </c>
      <c r="E461">
        <v>2018</v>
      </c>
      <c r="F461" t="s">
        <v>138</v>
      </c>
      <c r="G461" t="s">
        <v>14</v>
      </c>
      <c r="H461" t="s">
        <v>26</v>
      </c>
      <c r="I461" t="s">
        <v>40</v>
      </c>
      <c r="J461">
        <v>0</v>
      </c>
      <c r="K461">
        <v>11.142456011730232</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K462">
        <v>10.693354166666698</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K463">
        <v>11.142456011730232</v>
      </c>
      <c r="L463">
        <v>126.2704</v>
      </c>
      <c r="M463">
        <v>4.8</v>
      </c>
    </row>
    <row r="464" spans="1:13" x14ac:dyDescent="0.3">
      <c r="A464" t="s">
        <v>10</v>
      </c>
      <c r="B464">
        <v>463</v>
      </c>
      <c r="C464" t="s">
        <v>457</v>
      </c>
      <c r="D464" t="s">
        <v>54</v>
      </c>
      <c r="E464">
        <v>2018</v>
      </c>
      <c r="F464" t="s">
        <v>138</v>
      </c>
      <c r="G464" t="s">
        <v>14</v>
      </c>
      <c r="H464" t="s">
        <v>26</v>
      </c>
      <c r="I464" t="s">
        <v>40</v>
      </c>
      <c r="J464">
        <v>5.8545606E-2</v>
      </c>
      <c r="K464">
        <v>10.16340000000001</v>
      </c>
      <c r="L464">
        <v>155.8314</v>
      </c>
      <c r="M464">
        <v>4.8</v>
      </c>
    </row>
    <row r="465" spans="1:13" x14ac:dyDescent="0.3">
      <c r="A465" t="s">
        <v>10</v>
      </c>
      <c r="B465">
        <v>464</v>
      </c>
      <c r="C465" t="s">
        <v>458</v>
      </c>
      <c r="D465" t="s">
        <v>48</v>
      </c>
      <c r="E465">
        <v>2018</v>
      </c>
      <c r="F465" t="s">
        <v>138</v>
      </c>
      <c r="G465" t="s">
        <v>14</v>
      </c>
      <c r="H465" t="s">
        <v>26</v>
      </c>
      <c r="I465" t="s">
        <v>40</v>
      </c>
      <c r="J465">
        <v>8.0127282999999994E-2</v>
      </c>
      <c r="K465">
        <v>10.693354166666698</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K503">
        <v>10.938344155844197</v>
      </c>
      <c r="L503">
        <v>152.8682</v>
      </c>
      <c r="M503">
        <v>4.8</v>
      </c>
    </row>
    <row r="504" spans="1:13" x14ac:dyDescent="0.3">
      <c r="A504" t="s">
        <v>10</v>
      </c>
      <c r="B504">
        <v>503</v>
      </c>
      <c r="C504" t="s">
        <v>489</v>
      </c>
      <c r="D504" t="s">
        <v>54</v>
      </c>
      <c r="E504">
        <v>2018</v>
      </c>
      <c r="F504" t="s">
        <v>45</v>
      </c>
      <c r="G504" t="s">
        <v>21</v>
      </c>
      <c r="H504" t="s">
        <v>15</v>
      </c>
      <c r="I504" t="s">
        <v>46</v>
      </c>
      <c r="J504">
        <v>3.670437E-2</v>
      </c>
      <c r="K504">
        <v>10.16340000000001</v>
      </c>
      <c r="L504">
        <v>228.1352</v>
      </c>
      <c r="M504">
        <v>4.8</v>
      </c>
    </row>
    <row r="505" spans="1:13" x14ac:dyDescent="0.3">
      <c r="A505" t="s">
        <v>10</v>
      </c>
      <c r="B505">
        <v>504</v>
      </c>
      <c r="C505" t="s">
        <v>490</v>
      </c>
      <c r="D505" t="s">
        <v>159</v>
      </c>
      <c r="E505">
        <v>2018</v>
      </c>
      <c r="F505" t="s">
        <v>45</v>
      </c>
      <c r="G505" t="s">
        <v>21</v>
      </c>
      <c r="H505" t="s">
        <v>15</v>
      </c>
      <c r="I505" t="s">
        <v>46</v>
      </c>
      <c r="J505">
        <v>5.436436E-2</v>
      </c>
      <c r="K505">
        <v>12.025641891891883</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K509">
        <v>10.155138888888908</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K523">
        <v>11.142456011730232</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K524">
        <v>10.693354166666698</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K525">
        <v>10.792698598130867</v>
      </c>
      <c r="L525">
        <v>62.119399999999999</v>
      </c>
      <c r="M525">
        <v>4.7</v>
      </c>
    </row>
    <row r="526" spans="1:13" x14ac:dyDescent="0.3">
      <c r="A526" t="s">
        <v>10</v>
      </c>
      <c r="B526">
        <v>525</v>
      </c>
      <c r="C526" t="s">
        <v>504</v>
      </c>
      <c r="D526" t="s">
        <v>48</v>
      </c>
      <c r="E526">
        <v>2018</v>
      </c>
      <c r="F526" t="s">
        <v>138</v>
      </c>
      <c r="G526" t="s">
        <v>14</v>
      </c>
      <c r="H526" t="s">
        <v>26</v>
      </c>
      <c r="I526" t="s">
        <v>40</v>
      </c>
      <c r="J526">
        <v>0.127599399</v>
      </c>
      <c r="K526">
        <v>10.693354166666698</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K579">
        <v>10.155138888888908</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K580">
        <v>10.219992295839765</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K581">
        <v>10.867682692307703</v>
      </c>
      <c r="L581">
        <v>192.5162</v>
      </c>
      <c r="M581">
        <v>4.7</v>
      </c>
    </row>
    <row r="582" spans="1:13" x14ac:dyDescent="0.3">
      <c r="A582" t="s">
        <v>17</v>
      </c>
      <c r="B582">
        <v>581</v>
      </c>
      <c r="C582" t="s">
        <v>539</v>
      </c>
      <c r="D582" t="s">
        <v>42</v>
      </c>
      <c r="E582">
        <v>2018</v>
      </c>
      <c r="F582" t="s">
        <v>45</v>
      </c>
      <c r="G582" t="s">
        <v>21</v>
      </c>
      <c r="H582" t="s">
        <v>15</v>
      </c>
      <c r="I582" t="s">
        <v>46</v>
      </c>
      <c r="J582">
        <v>4.1091215E-2</v>
      </c>
      <c r="K582">
        <v>11.163752747252786</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K583">
        <v>9.9571910112359632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K584">
        <v>9.9571910112359632</v>
      </c>
      <c r="L584">
        <v>146.61019999999999</v>
      </c>
      <c r="M584">
        <v>4.7</v>
      </c>
    </row>
    <row r="585" spans="1:13" x14ac:dyDescent="0.3">
      <c r="A585" t="s">
        <v>17</v>
      </c>
      <c r="B585">
        <v>584</v>
      </c>
      <c r="C585" t="s">
        <v>542</v>
      </c>
      <c r="D585" t="s">
        <v>95</v>
      </c>
      <c r="E585">
        <v>2018</v>
      </c>
      <c r="F585" t="s">
        <v>138</v>
      </c>
      <c r="G585" t="s">
        <v>14</v>
      </c>
      <c r="H585" t="s">
        <v>26</v>
      </c>
      <c r="I585" t="s">
        <v>40</v>
      </c>
      <c r="J585">
        <v>0.113720344</v>
      </c>
      <c r="K585">
        <v>10.155138888888908</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K586">
        <v>10.33063636363636</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K589">
        <v>11.163752747252786</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K600">
        <v>11.142456011730232</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K601">
        <v>12.025641891891883</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K677">
        <v>10.938344155844197</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K678">
        <v>10.16340000000001</v>
      </c>
      <c r="L678">
        <v>109.1938</v>
      </c>
      <c r="M678">
        <v>4.5999999999999996</v>
      </c>
    </row>
    <row r="679" spans="1:13" x14ac:dyDescent="0.3">
      <c r="A679" t="s">
        <v>17</v>
      </c>
      <c r="B679">
        <v>678</v>
      </c>
      <c r="C679" t="s">
        <v>577</v>
      </c>
      <c r="D679" t="s">
        <v>54</v>
      </c>
      <c r="E679">
        <v>2018</v>
      </c>
      <c r="F679" t="s">
        <v>45</v>
      </c>
      <c r="G679" t="s">
        <v>21</v>
      </c>
      <c r="H679" t="s">
        <v>15</v>
      </c>
      <c r="I679" t="s">
        <v>46</v>
      </c>
      <c r="J679">
        <v>0.155541973</v>
      </c>
      <c r="K679">
        <v>10.16340000000001</v>
      </c>
      <c r="L679">
        <v>159.7578</v>
      </c>
      <c r="M679">
        <v>4.5999999999999996</v>
      </c>
    </row>
    <row r="680" spans="1:13" x14ac:dyDescent="0.3">
      <c r="A680" t="s">
        <v>17</v>
      </c>
      <c r="B680">
        <v>679</v>
      </c>
      <c r="C680" t="s">
        <v>605</v>
      </c>
      <c r="D680" t="s">
        <v>48</v>
      </c>
      <c r="E680">
        <v>2018</v>
      </c>
      <c r="F680" t="s">
        <v>45</v>
      </c>
      <c r="G680" t="s">
        <v>21</v>
      </c>
      <c r="H680" t="s">
        <v>15</v>
      </c>
      <c r="I680" t="s">
        <v>46</v>
      </c>
      <c r="J680">
        <v>0.141129263</v>
      </c>
      <c r="K680">
        <v>10.693354166666698</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K681">
        <v>10.938344155844197</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K682">
        <v>10.938344155844197</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K683">
        <v>10.16340000000001</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K684">
        <v>10.16340000000001</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K685">
        <v>10.867682692307703</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K686">
        <v>12.025641891891883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K698">
        <v>10.219992295839765</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K700">
        <v>11.163752747252786</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K746">
        <v>11.142456011730232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K747">
        <v>10.938344155844197</v>
      </c>
      <c r="L747">
        <v>163.221</v>
      </c>
      <c r="M747">
        <v>4.5</v>
      </c>
    </row>
    <row r="748" spans="1:13" x14ac:dyDescent="0.3">
      <c r="A748" t="s">
        <v>17</v>
      </c>
      <c r="B748">
        <v>747</v>
      </c>
      <c r="C748" t="s">
        <v>413</v>
      </c>
      <c r="D748" t="s">
        <v>42</v>
      </c>
      <c r="E748">
        <v>2018</v>
      </c>
      <c r="F748" t="s">
        <v>138</v>
      </c>
      <c r="G748" t="s">
        <v>14</v>
      </c>
      <c r="H748" t="s">
        <v>26</v>
      </c>
      <c r="I748" t="s">
        <v>40</v>
      </c>
      <c r="J748">
        <v>0.12998368799999999</v>
      </c>
      <c r="K748">
        <v>11.163752747252786</v>
      </c>
      <c r="L748">
        <v>93.046199999999999</v>
      </c>
      <c r="M748">
        <v>4.5</v>
      </c>
    </row>
    <row r="749" spans="1:13" x14ac:dyDescent="0.3">
      <c r="A749" t="s">
        <v>17</v>
      </c>
      <c r="B749">
        <v>748</v>
      </c>
      <c r="C749" t="s">
        <v>651</v>
      </c>
      <c r="D749" t="s">
        <v>42</v>
      </c>
      <c r="E749">
        <v>2018</v>
      </c>
      <c r="F749" t="s">
        <v>138</v>
      </c>
      <c r="G749" t="s">
        <v>14</v>
      </c>
      <c r="H749" t="s">
        <v>26</v>
      </c>
      <c r="I749" t="s">
        <v>40</v>
      </c>
      <c r="J749">
        <v>2.7532258E-2</v>
      </c>
      <c r="K749">
        <v>11.163752747252786</v>
      </c>
      <c r="L749">
        <v>185.0608</v>
      </c>
      <c r="M749">
        <v>4.5</v>
      </c>
    </row>
    <row r="750" spans="1:13" x14ac:dyDescent="0.3">
      <c r="A750" t="s">
        <v>17</v>
      </c>
      <c r="B750">
        <v>749</v>
      </c>
      <c r="C750" t="s">
        <v>652</v>
      </c>
      <c r="D750" t="s">
        <v>42</v>
      </c>
      <c r="E750">
        <v>2018</v>
      </c>
      <c r="F750" t="s">
        <v>138</v>
      </c>
      <c r="G750" t="s">
        <v>14</v>
      </c>
      <c r="H750" t="s">
        <v>26</v>
      </c>
      <c r="I750" t="s">
        <v>40</v>
      </c>
      <c r="J750">
        <v>7.3229342000000003E-2</v>
      </c>
      <c r="K750">
        <v>11.163752747252786</v>
      </c>
      <c r="L750">
        <v>254.10140000000001</v>
      </c>
      <c r="M750">
        <v>4.5</v>
      </c>
    </row>
    <row r="751" spans="1:13" x14ac:dyDescent="0.3">
      <c r="A751" t="s">
        <v>17</v>
      </c>
      <c r="B751">
        <v>750</v>
      </c>
      <c r="C751" t="s">
        <v>653</v>
      </c>
      <c r="D751" t="s">
        <v>42</v>
      </c>
      <c r="E751">
        <v>2018</v>
      </c>
      <c r="F751" t="s">
        <v>138</v>
      </c>
      <c r="G751" t="s">
        <v>14</v>
      </c>
      <c r="H751" t="s">
        <v>26</v>
      </c>
      <c r="I751" t="s">
        <v>40</v>
      </c>
      <c r="J751">
        <v>0.116750407</v>
      </c>
      <c r="K751">
        <v>11.163752747252786</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K752">
        <v>11.163752747252786</v>
      </c>
      <c r="L752">
        <v>160.95519999999999</v>
      </c>
      <c r="M752">
        <v>4.5</v>
      </c>
    </row>
    <row r="753" spans="1:13" x14ac:dyDescent="0.3">
      <c r="A753" t="s">
        <v>17</v>
      </c>
      <c r="B753">
        <v>752</v>
      </c>
      <c r="C753" t="s">
        <v>468</v>
      </c>
      <c r="D753" t="s">
        <v>64</v>
      </c>
      <c r="E753">
        <v>2018</v>
      </c>
      <c r="F753" t="s">
        <v>138</v>
      </c>
      <c r="G753" t="s">
        <v>14</v>
      </c>
      <c r="H753" t="s">
        <v>26</v>
      </c>
      <c r="I753" t="s">
        <v>40</v>
      </c>
      <c r="J753">
        <v>3.5997636E-2</v>
      </c>
      <c r="K753">
        <v>11.230177514792899</v>
      </c>
      <c r="L753">
        <v>78.661799999999999</v>
      </c>
      <c r="M753">
        <v>4.5</v>
      </c>
    </row>
    <row r="754" spans="1:13" x14ac:dyDescent="0.3">
      <c r="A754" t="s">
        <v>17</v>
      </c>
      <c r="B754">
        <v>753</v>
      </c>
      <c r="C754" t="s">
        <v>469</v>
      </c>
      <c r="D754" t="s">
        <v>48</v>
      </c>
      <c r="E754">
        <v>2018</v>
      </c>
      <c r="F754" t="s">
        <v>138</v>
      </c>
      <c r="G754" t="s">
        <v>14</v>
      </c>
      <c r="H754" t="s">
        <v>26</v>
      </c>
      <c r="I754" t="s">
        <v>40</v>
      </c>
      <c r="J754">
        <v>0.164006137</v>
      </c>
      <c r="K754">
        <v>10.693354166666698</v>
      </c>
      <c r="L754">
        <v>113.2834</v>
      </c>
      <c r="M754">
        <v>4.5</v>
      </c>
    </row>
    <row r="755" spans="1:13" x14ac:dyDescent="0.3">
      <c r="A755" t="s">
        <v>17</v>
      </c>
      <c r="B755">
        <v>754</v>
      </c>
      <c r="C755" t="s">
        <v>655</v>
      </c>
      <c r="D755" t="s">
        <v>48</v>
      </c>
      <c r="E755">
        <v>2018</v>
      </c>
      <c r="F755" t="s">
        <v>138</v>
      </c>
      <c r="G755" t="s">
        <v>14</v>
      </c>
      <c r="H755" t="s">
        <v>26</v>
      </c>
      <c r="I755" t="s">
        <v>40</v>
      </c>
      <c r="J755">
        <v>4.6903970000000003E-2</v>
      </c>
      <c r="K755">
        <v>10.693354166666698</v>
      </c>
      <c r="L755">
        <v>110.657</v>
      </c>
      <c r="M755">
        <v>4.5</v>
      </c>
    </row>
    <row r="756" spans="1:13" x14ac:dyDescent="0.3">
      <c r="A756" t="s">
        <v>17</v>
      </c>
      <c r="B756">
        <v>755</v>
      </c>
      <c r="C756" t="s">
        <v>656</v>
      </c>
      <c r="D756" t="s">
        <v>48</v>
      </c>
      <c r="E756">
        <v>2018</v>
      </c>
      <c r="F756" t="s">
        <v>138</v>
      </c>
      <c r="G756" t="s">
        <v>14</v>
      </c>
      <c r="H756" t="s">
        <v>26</v>
      </c>
      <c r="I756" t="s">
        <v>40</v>
      </c>
      <c r="J756">
        <v>0.18111405899999999</v>
      </c>
      <c r="K756">
        <v>10.693354166666698</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K757">
        <v>9.9571910112359632</v>
      </c>
      <c r="L757">
        <v>173.07380000000001</v>
      </c>
      <c r="M757">
        <v>4.5</v>
      </c>
    </row>
    <row r="758" spans="1:13" x14ac:dyDescent="0.3">
      <c r="A758" t="s">
        <v>10</v>
      </c>
      <c r="B758">
        <v>757</v>
      </c>
      <c r="C758" t="s">
        <v>319</v>
      </c>
      <c r="D758" t="s">
        <v>48</v>
      </c>
      <c r="E758">
        <v>2018</v>
      </c>
      <c r="F758" t="s">
        <v>138</v>
      </c>
      <c r="G758" t="s">
        <v>14</v>
      </c>
      <c r="H758" t="s">
        <v>26</v>
      </c>
      <c r="I758" t="s">
        <v>40</v>
      </c>
      <c r="J758">
        <v>0.184359831</v>
      </c>
      <c r="K758">
        <v>10.693354166666698</v>
      </c>
      <c r="L758">
        <v>172.6764</v>
      </c>
      <c r="M758">
        <v>4.5</v>
      </c>
    </row>
    <row r="759" spans="1:13" x14ac:dyDescent="0.3">
      <c r="A759" t="s">
        <v>10</v>
      </c>
      <c r="B759">
        <v>758</v>
      </c>
      <c r="C759" t="s">
        <v>658</v>
      </c>
      <c r="D759" t="s">
        <v>48</v>
      </c>
      <c r="E759">
        <v>2018</v>
      </c>
      <c r="F759" t="s">
        <v>138</v>
      </c>
      <c r="G759" t="s">
        <v>14</v>
      </c>
      <c r="H759" t="s">
        <v>26</v>
      </c>
      <c r="I759" t="s">
        <v>40</v>
      </c>
      <c r="J759">
        <v>0.11744283799999999</v>
      </c>
      <c r="K759">
        <v>10.693354166666698</v>
      </c>
      <c r="L759">
        <v>257.73039999999997</v>
      </c>
      <c r="M759">
        <v>4.5</v>
      </c>
    </row>
    <row r="760" spans="1:13" x14ac:dyDescent="0.3">
      <c r="A760" t="s">
        <v>10</v>
      </c>
      <c r="B760">
        <v>759</v>
      </c>
      <c r="C760" t="s">
        <v>659</v>
      </c>
      <c r="D760" t="s">
        <v>48</v>
      </c>
      <c r="E760">
        <v>2018</v>
      </c>
      <c r="F760" t="s">
        <v>138</v>
      </c>
      <c r="G760" t="s">
        <v>14</v>
      </c>
      <c r="H760" t="s">
        <v>26</v>
      </c>
      <c r="I760" t="s">
        <v>40</v>
      </c>
      <c r="J760">
        <v>2.1471456E-2</v>
      </c>
      <c r="K760">
        <v>10.693354166666698</v>
      </c>
      <c r="L760">
        <v>131.0284</v>
      </c>
      <c r="M760">
        <v>4.5</v>
      </c>
    </row>
    <row r="761" spans="1:13" x14ac:dyDescent="0.3">
      <c r="A761" t="s">
        <v>10</v>
      </c>
      <c r="B761">
        <v>760</v>
      </c>
      <c r="C761" t="s">
        <v>660</v>
      </c>
      <c r="D761" t="s">
        <v>48</v>
      </c>
      <c r="E761">
        <v>2018</v>
      </c>
      <c r="F761" t="s">
        <v>138</v>
      </c>
      <c r="G761" t="s">
        <v>14</v>
      </c>
      <c r="H761" t="s">
        <v>26</v>
      </c>
      <c r="I761" t="s">
        <v>40</v>
      </c>
      <c r="J761">
        <v>0.17018662800000001</v>
      </c>
      <c r="K761">
        <v>10.693354166666698</v>
      </c>
      <c r="L761">
        <v>159.02619999999999</v>
      </c>
      <c r="M761">
        <v>4.5</v>
      </c>
    </row>
    <row r="762" spans="1:13" x14ac:dyDescent="0.3">
      <c r="A762" t="s">
        <v>17</v>
      </c>
      <c r="B762">
        <v>761</v>
      </c>
      <c r="C762" t="s">
        <v>418</v>
      </c>
      <c r="D762" t="s">
        <v>48</v>
      </c>
      <c r="E762">
        <v>2018</v>
      </c>
      <c r="F762" t="s">
        <v>138</v>
      </c>
      <c r="G762" t="s">
        <v>14</v>
      </c>
      <c r="H762" t="s">
        <v>26</v>
      </c>
      <c r="I762" t="s">
        <v>40</v>
      </c>
      <c r="J762">
        <v>5.9336763000000001E-2</v>
      </c>
      <c r="K762">
        <v>10.693354166666698</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17</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K916">
        <v>9.2222111553784849</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K917">
        <v>9.2222111553784849</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K918">
        <v>11.142456011730232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K919">
        <v>11.142456011730232</v>
      </c>
      <c r="L919">
        <v>265.28840000000002</v>
      </c>
      <c r="M919">
        <v>4.5</v>
      </c>
    </row>
    <row r="920" spans="1:13" x14ac:dyDescent="0.3">
      <c r="A920" t="s">
        <v>17</v>
      </c>
      <c r="B920">
        <v>919</v>
      </c>
      <c r="C920" t="s">
        <v>748</v>
      </c>
      <c r="D920" t="s">
        <v>24</v>
      </c>
      <c r="E920">
        <v>2018</v>
      </c>
      <c r="F920" t="s">
        <v>45</v>
      </c>
      <c r="G920" t="s">
        <v>21</v>
      </c>
      <c r="H920" t="s">
        <v>15</v>
      </c>
      <c r="I920" t="s">
        <v>46</v>
      </c>
      <c r="J920">
        <v>6.5272284E-2</v>
      </c>
      <c r="K920">
        <v>10.792698598130867</v>
      </c>
      <c r="L920">
        <v>256.16460000000001</v>
      </c>
      <c r="M920">
        <v>4.5</v>
      </c>
    </row>
    <row r="921" spans="1:13" x14ac:dyDescent="0.3">
      <c r="A921" t="s">
        <v>17</v>
      </c>
      <c r="B921">
        <v>920</v>
      </c>
      <c r="C921" t="s">
        <v>749</v>
      </c>
      <c r="D921" t="s">
        <v>24</v>
      </c>
      <c r="E921">
        <v>2018</v>
      </c>
      <c r="F921" t="s">
        <v>45</v>
      </c>
      <c r="G921" t="s">
        <v>21</v>
      </c>
      <c r="H921" t="s">
        <v>15</v>
      </c>
      <c r="I921" t="s">
        <v>46</v>
      </c>
      <c r="J921">
        <v>0</v>
      </c>
      <c r="K921">
        <v>10.792698598130867</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K922">
        <v>10.792698598130867</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K923">
        <v>10.867682692307703</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K924">
        <v>11.163752747252786</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K925">
        <v>11.163752747252786</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K926">
        <v>11.163752747252786</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K927">
        <v>11.163752747252786</v>
      </c>
      <c r="L927">
        <v>160.792</v>
      </c>
      <c r="M927">
        <v>4.5</v>
      </c>
    </row>
    <row r="928" spans="1:13" x14ac:dyDescent="0.3">
      <c r="A928" t="s">
        <v>17</v>
      </c>
      <c r="B928">
        <v>927</v>
      </c>
      <c r="C928" t="s">
        <v>241</v>
      </c>
      <c r="D928" t="s">
        <v>42</v>
      </c>
      <c r="E928">
        <v>2018</v>
      </c>
      <c r="F928" t="s">
        <v>45</v>
      </c>
      <c r="G928" t="s">
        <v>21</v>
      </c>
      <c r="H928" t="s">
        <v>15</v>
      </c>
      <c r="I928" t="s">
        <v>46</v>
      </c>
      <c r="J928">
        <v>5.911748E-2</v>
      </c>
      <c r="K928">
        <v>11.163752747252786</v>
      </c>
      <c r="L928">
        <v>181.5976</v>
      </c>
      <c r="M928">
        <v>4.5</v>
      </c>
    </row>
    <row r="929" spans="1:13" x14ac:dyDescent="0.3">
      <c r="A929" t="s">
        <v>17</v>
      </c>
      <c r="B929">
        <v>928</v>
      </c>
      <c r="C929" t="s">
        <v>753</v>
      </c>
      <c r="D929" t="s">
        <v>42</v>
      </c>
      <c r="E929">
        <v>2018</v>
      </c>
      <c r="F929" t="s">
        <v>45</v>
      </c>
      <c r="G929" t="s">
        <v>21</v>
      </c>
      <c r="H929" t="s">
        <v>15</v>
      </c>
      <c r="I929" t="s">
        <v>46</v>
      </c>
      <c r="J929">
        <v>9.370568E-2</v>
      </c>
      <c r="K929">
        <v>11.163752747252786</v>
      </c>
      <c r="L929">
        <v>253.8698</v>
      </c>
      <c r="M929">
        <v>4.5</v>
      </c>
    </row>
    <row r="930" spans="1:13" x14ac:dyDescent="0.3">
      <c r="A930" t="s">
        <v>17</v>
      </c>
      <c r="B930">
        <v>929</v>
      </c>
      <c r="C930" t="s">
        <v>754</v>
      </c>
      <c r="D930" t="s">
        <v>64</v>
      </c>
      <c r="E930">
        <v>2018</v>
      </c>
      <c r="F930" t="s">
        <v>45</v>
      </c>
      <c r="G930" t="s">
        <v>21</v>
      </c>
      <c r="H930" t="s">
        <v>15</v>
      </c>
      <c r="I930" t="s">
        <v>46</v>
      </c>
      <c r="J930">
        <v>3.1186800000000001E-2</v>
      </c>
      <c r="K930">
        <v>11.230177514792899</v>
      </c>
      <c r="L930">
        <v>39.548000000000002</v>
      </c>
      <c r="M930">
        <v>4.5</v>
      </c>
    </row>
    <row r="931" spans="1:13" x14ac:dyDescent="0.3">
      <c r="A931" t="s">
        <v>10</v>
      </c>
      <c r="B931">
        <v>930</v>
      </c>
      <c r="C931" t="s">
        <v>755</v>
      </c>
      <c r="D931" t="s">
        <v>95</v>
      </c>
      <c r="E931">
        <v>2018</v>
      </c>
      <c r="F931" t="s">
        <v>45</v>
      </c>
      <c r="G931" t="s">
        <v>21</v>
      </c>
      <c r="H931" t="s">
        <v>15</v>
      </c>
      <c r="I931" t="s">
        <v>46</v>
      </c>
      <c r="J931">
        <v>2.524761E-2</v>
      </c>
      <c r="K931">
        <v>10.155138888888908</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K932">
        <v>10.219992295839765</v>
      </c>
      <c r="L932">
        <v>153.2998</v>
      </c>
      <c r="M932">
        <v>4.5</v>
      </c>
    </row>
    <row r="933" spans="1:13" x14ac:dyDescent="0.3">
      <c r="A933" t="s">
        <v>10</v>
      </c>
      <c r="B933">
        <v>932</v>
      </c>
      <c r="C933" t="s">
        <v>756</v>
      </c>
      <c r="D933" t="s">
        <v>24</v>
      </c>
      <c r="E933">
        <v>2018</v>
      </c>
      <c r="F933" t="s">
        <v>45</v>
      </c>
      <c r="G933" t="s">
        <v>21</v>
      </c>
      <c r="H933" t="s">
        <v>15</v>
      </c>
      <c r="I933" t="s">
        <v>46</v>
      </c>
      <c r="J933">
        <v>7.9954799999999993E-3</v>
      </c>
      <c r="K933">
        <v>10.792698598130867</v>
      </c>
      <c r="L933">
        <v>78.561800000000005</v>
      </c>
      <c r="M933">
        <v>4.5</v>
      </c>
    </row>
    <row r="934" spans="1:13" x14ac:dyDescent="0.3">
      <c r="A934" t="s">
        <v>10</v>
      </c>
      <c r="B934">
        <v>933</v>
      </c>
      <c r="C934" t="s">
        <v>757</v>
      </c>
      <c r="D934" t="s">
        <v>24</v>
      </c>
      <c r="E934">
        <v>2018</v>
      </c>
      <c r="F934" t="s">
        <v>45</v>
      </c>
      <c r="G934" t="s">
        <v>21</v>
      </c>
      <c r="H934" t="s">
        <v>15</v>
      </c>
      <c r="I934" t="s">
        <v>46</v>
      </c>
      <c r="J934">
        <v>4.1273391E-2</v>
      </c>
      <c r="K934">
        <v>10.792698598130867</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K935">
        <v>10.792698598130867</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K936">
        <v>10.938344155844197</v>
      </c>
      <c r="L936">
        <v>81.495999999999995</v>
      </c>
      <c r="M936">
        <v>4.5</v>
      </c>
    </row>
    <row r="937" spans="1:13" x14ac:dyDescent="0.3">
      <c r="A937" t="s">
        <v>10</v>
      </c>
      <c r="B937">
        <v>936</v>
      </c>
      <c r="C937" t="s">
        <v>760</v>
      </c>
      <c r="D937" t="s">
        <v>48</v>
      </c>
      <c r="E937">
        <v>2018</v>
      </c>
      <c r="F937" t="s">
        <v>45</v>
      </c>
      <c r="G937" t="s">
        <v>21</v>
      </c>
      <c r="H937" t="s">
        <v>15</v>
      </c>
      <c r="I937" t="s">
        <v>46</v>
      </c>
      <c r="J937">
        <v>1.3951504E-2</v>
      </c>
      <c r="K937">
        <v>10.693354166666698</v>
      </c>
      <c r="L937">
        <v>199.9084</v>
      </c>
      <c r="M937">
        <v>4.5</v>
      </c>
    </row>
    <row r="938" spans="1:13" x14ac:dyDescent="0.3">
      <c r="A938" t="s">
        <v>10</v>
      </c>
      <c r="B938">
        <v>937</v>
      </c>
      <c r="C938" t="s">
        <v>761</v>
      </c>
      <c r="D938" t="s">
        <v>32</v>
      </c>
      <c r="E938">
        <v>2018</v>
      </c>
      <c r="F938" t="s">
        <v>45</v>
      </c>
      <c r="G938" t="s">
        <v>21</v>
      </c>
      <c r="H938" t="s">
        <v>15</v>
      </c>
      <c r="I938" t="s">
        <v>46</v>
      </c>
      <c r="J938">
        <v>4.4767031999999998E-2</v>
      </c>
      <c r="K938">
        <v>9.9571910112359632</v>
      </c>
      <c r="L938">
        <v>173.7054</v>
      </c>
      <c r="M938">
        <v>4.5</v>
      </c>
    </row>
    <row r="939" spans="1:13" x14ac:dyDescent="0.3">
      <c r="A939" t="s">
        <v>35</v>
      </c>
      <c r="B939">
        <v>938</v>
      </c>
      <c r="C939" t="s">
        <v>477</v>
      </c>
      <c r="D939" t="s">
        <v>95</v>
      </c>
      <c r="E939">
        <v>2018</v>
      </c>
      <c r="F939" t="s">
        <v>45</v>
      </c>
      <c r="G939" t="s">
        <v>21</v>
      </c>
      <c r="H939" t="s">
        <v>15</v>
      </c>
      <c r="I939" t="s">
        <v>46</v>
      </c>
      <c r="J939">
        <v>3.7315468999999997E-2</v>
      </c>
      <c r="K939">
        <v>10.155138888888908</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K940">
        <v>9.2222111553784849</v>
      </c>
      <c r="L940">
        <v>102.33320000000001</v>
      </c>
      <c r="M940">
        <v>4.5</v>
      </c>
    </row>
    <row r="941" spans="1:13" x14ac:dyDescent="0.3">
      <c r="A941" t="s">
        <v>35</v>
      </c>
      <c r="B941">
        <v>940</v>
      </c>
      <c r="C941" t="s">
        <v>763</v>
      </c>
      <c r="D941" t="s">
        <v>19</v>
      </c>
      <c r="E941">
        <v>2018</v>
      </c>
      <c r="F941" t="s">
        <v>45</v>
      </c>
      <c r="G941" t="s">
        <v>21</v>
      </c>
      <c r="H941" t="s">
        <v>15</v>
      </c>
      <c r="I941" t="s">
        <v>46</v>
      </c>
      <c r="J941">
        <v>2.0876485E-2</v>
      </c>
      <c r="K941">
        <v>10.867682692307703</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K942">
        <v>11.142456011730232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K944">
        <v>10.693354166666698</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K950">
        <v>10.938344155844197</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K952">
        <v>10.155138888888908</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K953">
        <v>10.693354166666698</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K965">
        <v>10.867682692307703</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K968">
        <v>10.792698598130867</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K970">
        <v>10.938344155844197</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K971">
        <v>10.693354166666698</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K972">
        <v>10.693354166666698</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K973">
        <v>11.142456011730232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K975">
        <v>10.16340000000001</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K976">
        <v>10.219992295839765</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K1020">
        <v>10.155138888888908</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K1021">
        <v>11.142456011730232</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K1022">
        <v>10.792698598130867</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K1023">
        <v>10.938344155844197</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K1024">
        <v>10.938344155844197</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K1025">
        <v>10.938344155844197</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K1026">
        <v>10.938344155844197</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K1027">
        <v>10.867682692307703</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K1028">
        <v>11.163752747252786</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K1029">
        <v>10.16340000000001</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K1030">
        <v>11.230177514792899</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K1031">
        <v>10.693354166666698</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K1032">
        <v>10.693354166666698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K1033">
        <v>10.693354166666698</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K1034">
        <v>11.142456011730232</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K1035">
        <v>10.792698598130867</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K1036">
        <v>10.792698598130867</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K1037">
        <v>10.16340000000001</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K1038">
        <v>10.693354166666698</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K1039">
        <v>12.025641891891883</v>
      </c>
      <c r="L1039">
        <v>184.19239999999999</v>
      </c>
      <c r="M1039">
        <v>4.4000000000000004</v>
      </c>
    </row>
    <row r="1040" spans="1:13" x14ac:dyDescent="0.3">
      <c r="A1040" t="s">
        <v>17</v>
      </c>
      <c r="B1040">
        <v>1039</v>
      </c>
      <c r="C1040" t="s">
        <v>827</v>
      </c>
      <c r="D1040" t="s">
        <v>67</v>
      </c>
      <c r="E1040">
        <v>2018</v>
      </c>
      <c r="F1040" t="s">
        <v>138</v>
      </c>
      <c r="G1040" t="s">
        <v>14</v>
      </c>
      <c r="H1040" t="s">
        <v>26</v>
      </c>
      <c r="I1040" t="s">
        <v>40</v>
      </c>
      <c r="J1040">
        <v>0.210021713</v>
      </c>
      <c r="K1040">
        <v>11.142456011730232</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K1257">
        <v>10.867682692307703</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K1258">
        <v>10.33063636363636</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K1259">
        <v>10.219992295839765</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K1260">
        <v>10.219992295839765</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K1261">
        <v>11.142456011730232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K1262">
        <v>10.792698598130867</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K1263">
        <v>10.792698598130867</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K1264">
        <v>10.792698598130867</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K1265">
        <v>9.7488785046728896</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K1266">
        <v>9.7488785046728896</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K1267">
        <v>10.867682692307703</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K1268">
        <v>10.867682692307703</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K1269">
        <v>10.867682692307703</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K1270">
        <v>10.867682692307703</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K1271">
        <v>10.867682692307703</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K1272">
        <v>11.163752747252786</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K1273">
        <v>11.163752747252786</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K1274">
        <v>11.163752747252786</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K1275">
        <v>10.693354166666698</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K1276">
        <v>10.33063636363636</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K1277">
        <v>10.219992295839765</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K1278">
        <v>11.142456011730232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K1279">
        <v>10.938344155844197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K1280">
        <v>10.938344155844197</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K1281">
        <v>10.938344155844197</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K1282">
        <v>10.16340000000001</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K1284">
        <v>9.7488785046728896</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K1288">
        <v>10.938344155844197</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K1292">
        <v>10.219992295839765</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K1307">
        <v>10.155138888888908</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K1311">
        <v>9.7488785046728896</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K1322">
        <v>11.163752747252786</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K1336">
        <v>12.025641891891883</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K1343">
        <v>10.16340000000001</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K1348">
        <v>10.693354166666698</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K1349">
        <v>10.792698598130867</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K1351">
        <v>9.9571910112359632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K1354">
        <v>10.003046875000003</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K1359">
        <v>10.155138888888908</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K1361">
        <v>11.163752747252786</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K1436">
        <v>10.219992295839765</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K1437">
        <v>10.155138888888908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K1438">
        <v>10.155138888888908</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K1439">
        <v>10.155138888888908</v>
      </c>
      <c r="L1439">
        <v>106.0596</v>
      </c>
      <c r="M1439">
        <v>4.3</v>
      </c>
    </row>
    <row r="1440" spans="1:13" x14ac:dyDescent="0.3">
      <c r="A1440" t="s">
        <v>17</v>
      </c>
      <c r="B1440">
        <v>1439</v>
      </c>
      <c r="C1440" t="s">
        <v>633</v>
      </c>
      <c r="D1440" t="s">
        <v>57</v>
      </c>
      <c r="E1440">
        <v>2018</v>
      </c>
      <c r="F1440" t="s">
        <v>138</v>
      </c>
      <c r="G1440" t="s">
        <v>14</v>
      </c>
      <c r="H1440" t="s">
        <v>26</v>
      </c>
      <c r="I1440" t="s">
        <v>40</v>
      </c>
      <c r="J1440">
        <v>0.246678647</v>
      </c>
      <c r="K1440">
        <v>9.2222111553784849</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K1441">
        <v>11.142456011730232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K1442">
        <v>11.142456011730232</v>
      </c>
      <c r="L1442">
        <v>105.9306</v>
      </c>
      <c r="M1442">
        <v>4.3</v>
      </c>
    </row>
    <row r="1443" spans="1:13" x14ac:dyDescent="0.3">
      <c r="A1443" t="s">
        <v>17</v>
      </c>
      <c r="B1443">
        <v>1442</v>
      </c>
      <c r="C1443" t="s">
        <v>1018</v>
      </c>
      <c r="D1443" t="s">
        <v>24</v>
      </c>
      <c r="E1443">
        <v>2018</v>
      </c>
      <c r="F1443" t="s">
        <v>138</v>
      </c>
      <c r="G1443" t="s">
        <v>14</v>
      </c>
      <c r="H1443" t="s">
        <v>26</v>
      </c>
      <c r="I1443" t="s">
        <v>40</v>
      </c>
      <c r="J1443">
        <v>0</v>
      </c>
      <c r="K1443">
        <v>10.792698598130867</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K1444">
        <v>10.792698598130867</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K1445">
        <v>10.938344155844197</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K1446">
        <v>10.938344155844197</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K1447">
        <v>10.938344155844197</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K1448">
        <v>10.867682692307703</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K1449">
        <v>10.867682692307703</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K1450">
        <v>10.867682692307703</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K1451">
        <v>10.867682692307703</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K1452">
        <v>11.163752747252786</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K1453">
        <v>11.163752747252786</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K1454">
        <v>11.163752747252786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K1455">
        <v>10.16340000000001</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K1456">
        <v>11.230177514792899</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K1457">
        <v>11.230177514792899</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K1458">
        <v>10.693354166666698</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K1459">
        <v>9.9571910112359632</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K1460">
        <v>9.9571910112359632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K1461">
        <v>10.155138888888908</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K1462">
        <v>10.33063636363636</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K1463">
        <v>11.142456011730232</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K1464">
        <v>10.792698598130867</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K1465">
        <v>10.938344155844197</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K1466">
        <v>10.938344155844197</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K1467">
        <v>10.938344155844197</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K1468">
        <v>10.938344155844197</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K1469">
        <v>10.938344155844197</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K1470">
        <v>10.16340000000001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K1471">
        <v>10.693354166666698</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K1472">
        <v>10.693354166666698</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K1473">
        <v>10.693354166666698</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K1474">
        <v>10.693354166666698</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17</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K1912">
        <v>10.155138888888908</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K1913">
        <v>10.938344155844197</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K1914">
        <v>10.938344155844197</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K1915">
        <v>11.163752747252786</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K1916">
        <v>10.155138888888908</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K1917">
        <v>10.155138888888908</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K1918">
        <v>10.155138888888908</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K1919">
        <v>10.155138888888908</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K1920">
        <v>10.219992295839765</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K1921">
        <v>10.219992295839765</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K1922">
        <v>10.219992295839765</v>
      </c>
      <c r="L1922">
        <v>205.3638</v>
      </c>
      <c r="M1922">
        <v>4.3</v>
      </c>
    </row>
    <row r="1923" spans="1:13" x14ac:dyDescent="0.3">
      <c r="A1923" t="s">
        <v>17</v>
      </c>
      <c r="B1923">
        <v>1922</v>
      </c>
      <c r="C1923" t="s">
        <v>1065</v>
      </c>
      <c r="D1923" t="s">
        <v>67</v>
      </c>
      <c r="E1923">
        <v>2018</v>
      </c>
      <c r="F1923" t="s">
        <v>45</v>
      </c>
      <c r="G1923" t="s">
        <v>21</v>
      </c>
      <c r="H1923" t="s">
        <v>15</v>
      </c>
      <c r="I1923" t="s">
        <v>46</v>
      </c>
      <c r="J1923">
        <v>1.769927E-2</v>
      </c>
      <c r="K1923">
        <v>11.142456011730232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K1924">
        <v>11.142456011730232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K1925">
        <v>10.792698598130867</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K1926">
        <v>10.792698598130867</v>
      </c>
      <c r="L1926">
        <v>214.7534</v>
      </c>
      <c r="M1926">
        <v>4.3</v>
      </c>
    </row>
    <row r="1927" spans="1:13" x14ac:dyDescent="0.3">
      <c r="A1927" t="s">
        <v>17</v>
      </c>
      <c r="B1927">
        <v>1926</v>
      </c>
      <c r="C1927" t="s">
        <v>1189</v>
      </c>
      <c r="D1927" t="s">
        <v>24</v>
      </c>
      <c r="E1927">
        <v>2018</v>
      </c>
      <c r="F1927" t="s">
        <v>45</v>
      </c>
      <c r="G1927" t="s">
        <v>21</v>
      </c>
      <c r="H1927" t="s">
        <v>15</v>
      </c>
      <c r="I1927" t="s">
        <v>46</v>
      </c>
      <c r="J1927">
        <v>0</v>
      </c>
      <c r="K1927">
        <v>10.792698598130867</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K1928">
        <v>10.938344155844197</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K1929">
        <v>10.938344155844197</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K1930">
        <v>10.938344155844197</v>
      </c>
      <c r="L1930">
        <v>115.7518</v>
      </c>
      <c r="M1930">
        <v>4.3</v>
      </c>
    </row>
    <row r="1931" spans="1:13" x14ac:dyDescent="0.3">
      <c r="A1931" t="s">
        <v>17</v>
      </c>
      <c r="B1931">
        <v>1930</v>
      </c>
      <c r="C1931" t="s">
        <v>493</v>
      </c>
      <c r="D1931" t="s">
        <v>12</v>
      </c>
      <c r="E1931">
        <v>2018</v>
      </c>
      <c r="F1931" t="s">
        <v>45</v>
      </c>
      <c r="G1931" t="s">
        <v>21</v>
      </c>
      <c r="H1931" t="s">
        <v>15</v>
      </c>
      <c r="I1931" t="s">
        <v>46</v>
      </c>
      <c r="J1931">
        <v>3.5183156E-2</v>
      </c>
      <c r="K1931">
        <v>10.938344155844197</v>
      </c>
      <c r="L1931">
        <v>37.8506</v>
      </c>
      <c r="M1931">
        <v>4.3</v>
      </c>
    </row>
    <row r="1932" spans="1:13" x14ac:dyDescent="0.3">
      <c r="A1932" t="s">
        <v>17</v>
      </c>
      <c r="B1932">
        <v>1931</v>
      </c>
      <c r="C1932" t="s">
        <v>1191</v>
      </c>
      <c r="D1932" t="s">
        <v>12</v>
      </c>
      <c r="E1932">
        <v>2018</v>
      </c>
      <c r="F1932" t="s">
        <v>45</v>
      </c>
      <c r="G1932" t="s">
        <v>21</v>
      </c>
      <c r="H1932" t="s">
        <v>15</v>
      </c>
      <c r="I1932" t="s">
        <v>46</v>
      </c>
      <c r="J1932">
        <v>2.0614212E-2</v>
      </c>
      <c r="K1932">
        <v>10.938344155844197</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K1933">
        <v>10.938344155844197</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K1934">
        <v>10.938344155844197</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K1935">
        <v>10.938344155844197</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K1936">
        <v>10.938344155844197</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K1937">
        <v>9.7488785046728896</v>
      </c>
      <c r="L1937">
        <v>233.9616</v>
      </c>
      <c r="M1937">
        <v>4.3</v>
      </c>
    </row>
    <row r="1938" spans="1:13" x14ac:dyDescent="0.3">
      <c r="A1938" t="s">
        <v>17</v>
      </c>
      <c r="B1938">
        <v>1937</v>
      </c>
      <c r="C1938" t="s">
        <v>326</v>
      </c>
      <c r="D1938" t="s">
        <v>19</v>
      </c>
      <c r="E1938">
        <v>2018</v>
      </c>
      <c r="F1938" t="s">
        <v>45</v>
      </c>
      <c r="G1938" t="s">
        <v>21</v>
      </c>
      <c r="H1938" t="s">
        <v>15</v>
      </c>
      <c r="I1938" t="s">
        <v>46</v>
      </c>
      <c r="J1938">
        <v>0.116366304</v>
      </c>
      <c r="K1938">
        <v>10.867682692307703</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K1939">
        <v>10.867682692307703</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K1940">
        <v>11.163752747252786</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K1941">
        <v>11.163752747252786</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K1942">
        <v>11.163752747252786</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K1943">
        <v>11.163752747252786</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K1944">
        <v>11.163752747252786</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K1945">
        <v>10.16340000000001</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K1946">
        <v>10.16340000000001</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K1947">
        <v>10.16340000000001</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K1948">
        <v>10.16340000000001</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K1949">
        <v>10.16340000000001</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K1950">
        <v>10.16340000000001</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K1951">
        <v>10.16340000000001</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K1952">
        <v>10.16340000000001</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K1953">
        <v>11.230177514792899</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K1954">
        <v>10.693354166666698</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K1955">
        <v>10.693354166666698</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K1956">
        <v>9.9571910112359632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K1957">
        <v>9.9571910112359632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K1958">
        <v>9.9571910112359632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K1959">
        <v>9.9571910112359632</v>
      </c>
      <c r="L1959">
        <v>164.7526</v>
      </c>
      <c r="M1959">
        <v>4.3</v>
      </c>
    </row>
    <row r="1960" spans="1:13" x14ac:dyDescent="0.3">
      <c r="A1960" t="s">
        <v>17</v>
      </c>
      <c r="B1960">
        <v>1959</v>
      </c>
      <c r="C1960" t="s">
        <v>355</v>
      </c>
      <c r="D1960" t="s">
        <v>32</v>
      </c>
      <c r="E1960">
        <v>2018</v>
      </c>
      <c r="F1960" t="s">
        <v>45</v>
      </c>
      <c r="G1960" t="s">
        <v>21</v>
      </c>
      <c r="H1960" t="s">
        <v>15</v>
      </c>
      <c r="I1960" t="s">
        <v>46</v>
      </c>
      <c r="J1960">
        <v>0.114609875</v>
      </c>
      <c r="K1960">
        <v>9.9571910112359632</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K1961">
        <v>9.2222111553784849</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K1962">
        <v>9.2222111553784849</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K1963">
        <v>9.2222111553784849</v>
      </c>
      <c r="L1963">
        <v>105.199</v>
      </c>
      <c r="M1963">
        <v>4.3</v>
      </c>
    </row>
    <row r="1964" spans="1:13" x14ac:dyDescent="0.3">
      <c r="A1964" t="s">
        <v>10</v>
      </c>
      <c r="B1964">
        <v>1963</v>
      </c>
      <c r="C1964" t="s">
        <v>160</v>
      </c>
      <c r="D1964" t="s">
        <v>28</v>
      </c>
      <c r="E1964">
        <v>2018</v>
      </c>
      <c r="F1964" t="s">
        <v>45</v>
      </c>
      <c r="G1964" t="s">
        <v>21</v>
      </c>
      <c r="H1964" t="s">
        <v>15</v>
      </c>
      <c r="I1964" t="s">
        <v>46</v>
      </c>
      <c r="J1964">
        <v>0</v>
      </c>
      <c r="K1964">
        <v>10.219992295839765</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K1965">
        <v>10.219992295839765</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K1966">
        <v>10.792698598130867</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K1967">
        <v>10.792698598130867</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K1968">
        <v>10.938344155844197</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K1969">
        <v>10.938344155844197</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K1970">
        <v>10.938344155844197</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K1971">
        <v>10.16340000000001</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K1972">
        <v>10.16340000000001</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K1973">
        <v>10.693354166666698</v>
      </c>
      <c r="L1973">
        <v>121.173</v>
      </c>
      <c r="M1973">
        <v>4.3</v>
      </c>
    </row>
    <row r="1974" spans="1:13" x14ac:dyDescent="0.3">
      <c r="A1974" t="s">
        <v>10</v>
      </c>
      <c r="B1974">
        <v>1973</v>
      </c>
      <c r="C1974" t="s">
        <v>839</v>
      </c>
      <c r="D1974" t="s">
        <v>48</v>
      </c>
      <c r="E1974">
        <v>2018</v>
      </c>
      <c r="F1974" t="s">
        <v>45</v>
      </c>
      <c r="G1974" t="s">
        <v>21</v>
      </c>
      <c r="H1974" t="s">
        <v>15</v>
      </c>
      <c r="I1974" t="s">
        <v>46</v>
      </c>
      <c r="J1974">
        <v>2.5795293E-2</v>
      </c>
      <c r="K1974">
        <v>10.693354166666698</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K1975">
        <v>10.693354166666698</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K1976">
        <v>9.9571910112359632</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K1983">
        <v>10.16340000000001</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K1990">
        <v>10.867682692307703</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K2001">
        <v>10.693354166666698</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K2004">
        <v>10.867682692307703</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K2005">
        <v>10.155138888888908</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K2011">
        <v>11.142456011730232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K2018">
        <v>10.219992295839765</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K2020">
        <v>10.693354166666698</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K2022">
        <v>10.693354166666698</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K2028">
        <v>11.163752747252786</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K2033">
        <v>10.938344155844197</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K2037">
        <v>10.155138888888908</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K2041">
        <v>10.938344155844197</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K2043">
        <v>10.938344155844197</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K2048">
        <v>10.792698598130867</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K2122">
        <v>10.693354166666698</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K2123">
        <v>10.155138888888908</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K2124">
        <v>10.155138888888908</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K2125">
        <v>10.155138888888908</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K2126">
        <v>9.2222111553784849</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K2127">
        <v>10.219992295839765</v>
      </c>
      <c r="L2127">
        <v>38.8506</v>
      </c>
      <c r="M2127">
        <v>4.2</v>
      </c>
    </row>
    <row r="2128" spans="1:13" x14ac:dyDescent="0.3">
      <c r="A2128" t="s">
        <v>17</v>
      </c>
      <c r="B2128">
        <v>2127</v>
      </c>
      <c r="C2128" t="s">
        <v>163</v>
      </c>
      <c r="D2128" t="s">
        <v>28</v>
      </c>
      <c r="E2128">
        <v>2018</v>
      </c>
      <c r="F2128" t="s">
        <v>138</v>
      </c>
      <c r="G2128" t="s">
        <v>14</v>
      </c>
      <c r="H2128" t="s">
        <v>26</v>
      </c>
      <c r="I2128" t="s">
        <v>40</v>
      </c>
      <c r="J2128">
        <v>1.8275994E-2</v>
      </c>
      <c r="K2128">
        <v>10.219992295839765</v>
      </c>
      <c r="L2128">
        <v>115.2808</v>
      </c>
      <c r="M2128">
        <v>4.2</v>
      </c>
    </row>
    <row r="2129" spans="1:13" x14ac:dyDescent="0.3">
      <c r="A2129" t="s">
        <v>17</v>
      </c>
      <c r="B2129">
        <v>2128</v>
      </c>
      <c r="C2129" t="s">
        <v>944</v>
      </c>
      <c r="D2129" t="s">
        <v>28</v>
      </c>
      <c r="E2129">
        <v>2018</v>
      </c>
      <c r="F2129" t="s">
        <v>138</v>
      </c>
      <c r="G2129" t="s">
        <v>14</v>
      </c>
      <c r="H2129" t="s">
        <v>26</v>
      </c>
      <c r="I2129" t="s">
        <v>40</v>
      </c>
      <c r="J2129">
        <v>3.1069203E-2</v>
      </c>
      <c r="K2129">
        <v>10.219992295839765</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K2130">
        <v>10.219992295839765</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K2131">
        <v>10.792698598130867</v>
      </c>
      <c r="L2131">
        <v>98.241</v>
      </c>
      <c r="M2131">
        <v>4.2</v>
      </c>
    </row>
    <row r="2132" spans="1:13" x14ac:dyDescent="0.3">
      <c r="A2132" t="s">
        <v>17</v>
      </c>
      <c r="B2132">
        <v>2131</v>
      </c>
      <c r="C2132" t="s">
        <v>574</v>
      </c>
      <c r="D2132" t="s">
        <v>19</v>
      </c>
      <c r="E2132">
        <v>2018</v>
      </c>
      <c r="F2132" t="s">
        <v>138</v>
      </c>
      <c r="G2132" t="s">
        <v>14</v>
      </c>
      <c r="H2132" t="s">
        <v>26</v>
      </c>
      <c r="I2132" t="s">
        <v>40</v>
      </c>
      <c r="J2132">
        <v>0.135612397</v>
      </c>
      <c r="K2132">
        <v>10.867682692307703</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K2133">
        <v>10.867682692307703</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K2134">
        <v>10.867682692307703</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K2135">
        <v>11.163752747252786</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K2136">
        <v>10.16340000000001</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K2137">
        <v>10.16340000000001</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K2138">
        <v>10.693354166666698</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K2139">
        <v>9.9571910112359632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K2140">
        <v>9.9571910112359632</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K2141">
        <v>9.9571910112359632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K2142">
        <v>10.219992295839765</v>
      </c>
      <c r="L2142">
        <v>142.0838</v>
      </c>
      <c r="M2142">
        <v>4.2</v>
      </c>
    </row>
    <row r="2143" spans="1:13" x14ac:dyDescent="0.3">
      <c r="A2143" t="s">
        <v>10</v>
      </c>
      <c r="B2143">
        <v>2142</v>
      </c>
      <c r="C2143" t="s">
        <v>955</v>
      </c>
      <c r="D2143" t="s">
        <v>67</v>
      </c>
      <c r="E2143">
        <v>2018</v>
      </c>
      <c r="F2143" t="s">
        <v>138</v>
      </c>
      <c r="G2143" t="s">
        <v>14</v>
      </c>
      <c r="H2143" t="s">
        <v>26</v>
      </c>
      <c r="I2143" t="s">
        <v>40</v>
      </c>
      <c r="J2143">
        <v>0.168901843</v>
      </c>
      <c r="K2143">
        <v>11.142456011730232</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K2144">
        <v>10.792698598130867</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K2145">
        <v>10.792698598130867</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K2146">
        <v>10.938344155844197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K2147">
        <v>10.938344155844197</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K2148">
        <v>10.938344155844197</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K2149">
        <v>10.938344155844197</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K2150">
        <v>10.938344155844197</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K2151">
        <v>10.16340000000001</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K2152">
        <v>10.693354166666698</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17</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K2595">
        <v>10.155138888888908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K2596">
        <v>10.155138888888908</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K2597">
        <v>10.155138888888908</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K2598">
        <v>10.155138888888908</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K2599">
        <v>10.155138888888908</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K2600">
        <v>10.33063636363636</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K2601">
        <v>11.142456011730232</v>
      </c>
      <c r="L2601">
        <v>172.6764</v>
      </c>
      <c r="M2601">
        <v>4.2</v>
      </c>
    </row>
    <row r="2602" spans="1:13" x14ac:dyDescent="0.3">
      <c r="A2602" t="s">
        <v>17</v>
      </c>
      <c r="B2602">
        <v>2601</v>
      </c>
      <c r="C2602" t="s">
        <v>589</v>
      </c>
      <c r="D2602" t="s">
        <v>67</v>
      </c>
      <c r="E2602">
        <v>2018</v>
      </c>
      <c r="F2602" t="s">
        <v>45</v>
      </c>
      <c r="G2602" t="s">
        <v>21</v>
      </c>
      <c r="H2602" t="s">
        <v>15</v>
      </c>
      <c r="I2602" t="s">
        <v>46</v>
      </c>
      <c r="J2602">
        <v>3.0288215E-2</v>
      </c>
      <c r="K2602">
        <v>11.142456011730232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K2603">
        <v>10.792698598130867</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K2604">
        <v>10.938344155844197</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K2605">
        <v>10.938344155844197</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K2606">
        <v>10.938344155844197</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K2607">
        <v>10.938344155844197</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K2608">
        <v>10.938344155844197</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K2609">
        <v>9.7488785046728896</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K2610">
        <v>10.867682692307703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K2611">
        <v>10.867682692307703</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K2612">
        <v>10.867682692307703</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K2613">
        <v>10.867682692307703</v>
      </c>
      <c r="L2613">
        <v>46.4086</v>
      </c>
      <c r="M2613">
        <v>4.2</v>
      </c>
    </row>
    <row r="2614" spans="1:13" x14ac:dyDescent="0.3">
      <c r="A2614" t="s">
        <v>17</v>
      </c>
      <c r="B2614">
        <v>2613</v>
      </c>
      <c r="C2614" t="s">
        <v>297</v>
      </c>
      <c r="D2614" t="s">
        <v>19</v>
      </c>
      <c r="E2614">
        <v>2018</v>
      </c>
      <c r="F2614" t="s">
        <v>45</v>
      </c>
      <c r="G2614" t="s">
        <v>21</v>
      </c>
      <c r="H2614" t="s">
        <v>15</v>
      </c>
      <c r="I2614" t="s">
        <v>46</v>
      </c>
      <c r="J2614">
        <v>8.9343433E-2</v>
      </c>
      <c r="K2614">
        <v>10.867682692307703</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K2615">
        <v>10.867682692307703</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K2616">
        <v>10.867682692307703</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K2617">
        <v>11.163752747252786</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K2618">
        <v>11.163752747252786</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K2619">
        <v>11.163752747252786</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K2620">
        <v>10.16340000000001</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K2621">
        <v>11.230177514792899</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K2622">
        <v>10.693354166666698</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K2623">
        <v>10.693354166666698</v>
      </c>
      <c r="L2623">
        <v>119.8124</v>
      </c>
      <c r="M2623">
        <v>4.2</v>
      </c>
    </row>
    <row r="2624" spans="1:13" x14ac:dyDescent="0.3">
      <c r="A2624" t="s">
        <v>17</v>
      </c>
      <c r="B2624">
        <v>2623</v>
      </c>
      <c r="C2624" t="s">
        <v>1284</v>
      </c>
      <c r="D2624" t="s">
        <v>48</v>
      </c>
      <c r="E2624">
        <v>2018</v>
      </c>
      <c r="F2624" t="s">
        <v>45</v>
      </c>
      <c r="G2624" t="s">
        <v>21</v>
      </c>
      <c r="H2624" t="s">
        <v>15</v>
      </c>
      <c r="I2624" t="s">
        <v>46</v>
      </c>
      <c r="J2624">
        <v>6.4052392E-2</v>
      </c>
      <c r="K2624">
        <v>10.693354166666698</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K2625">
        <v>10.693354166666698</v>
      </c>
      <c r="L2625">
        <v>141.21539999999999</v>
      </c>
      <c r="M2625">
        <v>4.2</v>
      </c>
    </row>
    <row r="2626" spans="1:13" x14ac:dyDescent="0.3">
      <c r="A2626" t="s">
        <v>17</v>
      </c>
      <c r="B2626">
        <v>2625</v>
      </c>
      <c r="C2626" t="s">
        <v>118</v>
      </c>
      <c r="D2626" t="s">
        <v>48</v>
      </c>
      <c r="E2626">
        <v>2018</v>
      </c>
      <c r="F2626" t="s">
        <v>45</v>
      </c>
      <c r="G2626" t="s">
        <v>21</v>
      </c>
      <c r="H2626" t="s">
        <v>15</v>
      </c>
      <c r="I2626" t="s">
        <v>46</v>
      </c>
      <c r="J2626">
        <v>0</v>
      </c>
      <c r="K2626">
        <v>10.693354166666698</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K2627">
        <v>10.693354166666698</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K2628">
        <v>10.693354166666698</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K2629">
        <v>10.693354166666698</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K2630">
        <v>9.9571910112359632</v>
      </c>
      <c r="L2630">
        <v>56.6614</v>
      </c>
      <c r="M2630">
        <v>4.2</v>
      </c>
    </row>
    <row r="2631" spans="1:13" x14ac:dyDescent="0.3">
      <c r="A2631" t="s">
        <v>17</v>
      </c>
      <c r="B2631">
        <v>2630</v>
      </c>
      <c r="C2631" t="s">
        <v>1356</v>
      </c>
      <c r="D2631" t="s">
        <v>32</v>
      </c>
      <c r="E2631">
        <v>2018</v>
      </c>
      <c r="F2631" t="s">
        <v>45</v>
      </c>
      <c r="G2631" t="s">
        <v>21</v>
      </c>
      <c r="H2631" t="s">
        <v>15</v>
      </c>
      <c r="I2631" t="s">
        <v>46</v>
      </c>
      <c r="J2631">
        <v>6.0805497E-2</v>
      </c>
      <c r="K2631">
        <v>9.9571910112359632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K2632">
        <v>12.025641891891883</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K2633">
        <v>10.155138888888908</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K2634">
        <v>10.155138888888908</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K2635">
        <v>10.155138888888908</v>
      </c>
      <c r="L2635">
        <v>262.7568</v>
      </c>
      <c r="M2635">
        <v>4.2</v>
      </c>
    </row>
    <row r="2636" spans="1:13" x14ac:dyDescent="0.3">
      <c r="A2636" t="s">
        <v>10</v>
      </c>
      <c r="B2636">
        <v>2635</v>
      </c>
      <c r="C2636" t="s">
        <v>1138</v>
      </c>
      <c r="D2636" t="s">
        <v>57</v>
      </c>
      <c r="E2636">
        <v>2018</v>
      </c>
      <c r="F2636" t="s">
        <v>45</v>
      </c>
      <c r="G2636" t="s">
        <v>21</v>
      </c>
      <c r="H2636" t="s">
        <v>15</v>
      </c>
      <c r="I2636" t="s">
        <v>46</v>
      </c>
      <c r="J2636">
        <v>2.923013E-2</v>
      </c>
      <c r="K2636">
        <v>9.2222111553784849</v>
      </c>
      <c r="L2636">
        <v>189.4556</v>
      </c>
      <c r="M2636">
        <v>4.2</v>
      </c>
    </row>
    <row r="2637" spans="1:13" x14ac:dyDescent="0.3">
      <c r="A2637" t="s">
        <v>10</v>
      </c>
      <c r="B2637">
        <v>2636</v>
      </c>
      <c r="C2637" t="s">
        <v>1358</v>
      </c>
      <c r="D2637" t="s">
        <v>28</v>
      </c>
      <c r="E2637">
        <v>2018</v>
      </c>
      <c r="F2637" t="s">
        <v>45</v>
      </c>
      <c r="G2637" t="s">
        <v>21</v>
      </c>
      <c r="H2637" t="s">
        <v>15</v>
      </c>
      <c r="I2637" t="s">
        <v>46</v>
      </c>
      <c r="J2637">
        <v>1.612717E-2</v>
      </c>
      <c r="K2637">
        <v>10.219992295839765</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K2638">
        <v>10.219992295839765</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K2639">
        <v>11.142456011730232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K2640">
        <v>11.142456011730232</v>
      </c>
      <c r="L2640">
        <v>181.6318</v>
      </c>
      <c r="M2640">
        <v>4.2</v>
      </c>
    </row>
    <row r="2641" spans="1:13" x14ac:dyDescent="0.3">
      <c r="A2641" t="s">
        <v>10</v>
      </c>
      <c r="B2641">
        <v>2640</v>
      </c>
      <c r="C2641" t="s">
        <v>554</v>
      </c>
      <c r="D2641" t="s">
        <v>67</v>
      </c>
      <c r="E2641">
        <v>2018</v>
      </c>
      <c r="F2641" t="s">
        <v>45</v>
      </c>
      <c r="G2641" t="s">
        <v>21</v>
      </c>
      <c r="H2641" t="s">
        <v>15</v>
      </c>
      <c r="I2641" t="s">
        <v>46</v>
      </c>
      <c r="J2641">
        <v>0.106538757</v>
      </c>
      <c r="K2641">
        <v>11.142456011730232</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K2642">
        <v>10.792698598130867</v>
      </c>
      <c r="L2642">
        <v>144.0102</v>
      </c>
      <c r="M2642">
        <v>4.2</v>
      </c>
    </row>
    <row r="2643" spans="1:13" x14ac:dyDescent="0.3">
      <c r="A2643" t="s">
        <v>10</v>
      </c>
      <c r="B2643">
        <v>2642</v>
      </c>
      <c r="C2643" t="s">
        <v>1361</v>
      </c>
      <c r="D2643" t="s">
        <v>24</v>
      </c>
      <c r="E2643">
        <v>2018</v>
      </c>
      <c r="F2643" t="s">
        <v>45</v>
      </c>
      <c r="G2643" t="s">
        <v>21</v>
      </c>
      <c r="H2643" t="s">
        <v>15</v>
      </c>
      <c r="I2643" t="s">
        <v>46</v>
      </c>
      <c r="J2643">
        <v>0</v>
      </c>
      <c r="K2643">
        <v>10.792698598130867</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K2644">
        <v>10.938344155844197</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K2645">
        <v>10.938344155844197</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K2646">
        <v>10.693354166666698</v>
      </c>
      <c r="L2646">
        <v>133.1626</v>
      </c>
      <c r="M2646">
        <v>4.2</v>
      </c>
    </row>
    <row r="2647" spans="1:13" x14ac:dyDescent="0.3">
      <c r="A2647" t="s">
        <v>10</v>
      </c>
      <c r="B2647">
        <v>2646</v>
      </c>
      <c r="C2647" t="s">
        <v>319</v>
      </c>
      <c r="D2647" t="s">
        <v>48</v>
      </c>
      <c r="E2647">
        <v>2018</v>
      </c>
      <c r="F2647" t="s">
        <v>45</v>
      </c>
      <c r="G2647" t="s">
        <v>21</v>
      </c>
      <c r="H2647" t="s">
        <v>15</v>
      </c>
      <c r="I2647" t="s">
        <v>46</v>
      </c>
      <c r="J2647">
        <v>0.104786172</v>
      </c>
      <c r="K2647">
        <v>10.693354166666698</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K2648">
        <v>10.693354166666698</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K2649">
        <v>10.693354166666698</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K2651">
        <v>10.155138888888908</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K2667">
        <v>10.219992295839765</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K2668">
        <v>10.938344155844197</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K2669">
        <v>10.33063636363636</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K2684">
        <v>9.2222111553784849</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K2698">
        <v>11.142456011730232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K2705">
        <v>10.155138888888908</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K2707">
        <v>10.155138888888908</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K2753">
        <v>9.2222111553784849</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K2754">
        <v>10.219992295839765</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K2755">
        <v>10.792698598130867</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K2756">
        <v>10.792698598130867</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K2757">
        <v>10.867682692307703</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K2758">
        <v>10.867682692307703</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K2759">
        <v>10.867682692307703</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K2760">
        <v>10.867682692307703</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K2761">
        <v>11.163752747252786</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K2762">
        <v>11.163752747252786</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K2763">
        <v>11.163752747252786</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K2764">
        <v>11.163752747252786</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K2765">
        <v>10.003046875000003</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K2766">
        <v>10.693354166666698</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K2767">
        <v>10.693354166666698</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K2768">
        <v>10.693354166666698</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K2769">
        <v>10.693354166666698</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K2770">
        <v>10.693354166666698</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K2771">
        <v>10.693354166666698</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K2772">
        <v>10.693354166666698</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K2773">
        <v>10.155138888888908</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K2774">
        <v>10.155138888888908</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K2775">
        <v>9.2222111553784849</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K2776">
        <v>10.219992295839765</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K2777">
        <v>10.219992295839765</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K2778">
        <v>11.142456011730232</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K2779">
        <v>10.938344155844197</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K2780">
        <v>10.938344155844197</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K2781">
        <v>10.938344155844197</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K2782">
        <v>10.938344155844197</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K2783">
        <v>10.16340000000001</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K2784">
        <v>10.693354166666698</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K2785">
        <v>10.792698598130867</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K3129">
        <v>10.938344155844197</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K3130">
        <v>11.163752747252786</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K3131">
        <v>10.16340000000001</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K3132">
        <v>10.16340000000001</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K3133">
        <v>10.219992295839765</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K3134">
        <v>10.219992295839765</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K3135">
        <v>10.219992295839765</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K3136">
        <v>10.792698598130867</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K3137">
        <v>10.938344155844197</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K3138">
        <v>10.938344155844197</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K3139">
        <v>9.7488785046728896</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K3140">
        <v>10.867682692307703</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K3141">
        <v>10.867682692307703</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K3142">
        <v>11.163752747252786</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K3143">
        <v>11.163752747252786</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K3144">
        <v>11.163752747252786</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K3145">
        <v>11.163752747252786</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K3146">
        <v>10.16340000000001</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K3147">
        <v>11.230177514792899</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K3148">
        <v>11.230177514792899</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K3149">
        <v>10.003046875000003</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K3150">
        <v>10.693354166666698</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K3151">
        <v>10.693354166666698</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K3152">
        <v>9.9571910112359632</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K3153">
        <v>9.9571910112359632</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K3154">
        <v>9.9571910112359632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K3155">
        <v>12.025641891891883</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K3156">
        <v>10.155138888888908</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K3157">
        <v>10.219992295839765</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K3158">
        <v>10.219992295839765</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K3159">
        <v>11.142456011730232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K3160">
        <v>11.142456011730232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K3161">
        <v>10.792698598130867</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K3162">
        <v>10.792698598130867</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K3163">
        <v>10.792698598130867</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K3164">
        <v>10.792698598130867</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K3165">
        <v>10.938344155844197</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K3166">
        <v>10.938344155844197</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K3167">
        <v>10.938344155844197</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K3168">
        <v>10.938344155844197</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K3169">
        <v>10.693354166666698</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K3170">
        <v>10.693354166666698</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K3171">
        <v>9.9571910112359632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K3172">
        <v>12.025641891891883</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K3173">
        <v>10.938344155844197</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K3174">
        <v>10.693354166666698</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K3182">
        <v>10.792698598130867</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K3185">
        <v>10.792698598130867</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K3193">
        <v>9.7488785046728896</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K3195">
        <v>10.792698598130867</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K3197">
        <v>10.792698598130867</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K3199">
        <v>10.16340000000001</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K3211">
        <v>10.155138888888908</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K3232">
        <v>10.792698598130867</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K3239">
        <v>10.693354166666698</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K3241">
        <v>10.155138888888908</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K3248">
        <v>10.792698598130867</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K3251">
        <v>11.163752747252786</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K3314">
        <v>11.163752747252786</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K3315">
        <v>10.155138888888908</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K3316">
        <v>9.2222111553784849</v>
      </c>
      <c r="L3316">
        <v>125.6046</v>
      </c>
      <c r="M3316">
        <v>4</v>
      </c>
    </row>
    <row r="3317" spans="1:13" x14ac:dyDescent="0.3">
      <c r="A3317" t="s">
        <v>17</v>
      </c>
      <c r="B3317">
        <v>3316</v>
      </c>
      <c r="C3317" t="s">
        <v>1455</v>
      </c>
      <c r="D3317" t="s">
        <v>74</v>
      </c>
      <c r="E3317">
        <v>2018</v>
      </c>
      <c r="F3317" t="s">
        <v>138</v>
      </c>
      <c r="G3317" t="s">
        <v>14</v>
      </c>
      <c r="H3317" t="s">
        <v>26</v>
      </c>
      <c r="I3317" t="s">
        <v>40</v>
      </c>
      <c r="J3317">
        <v>0.106907604</v>
      </c>
      <c r="K3317">
        <v>10.33063636363636</v>
      </c>
      <c r="L3317">
        <v>162.8526</v>
      </c>
      <c r="M3317">
        <v>4</v>
      </c>
    </row>
    <row r="3318" spans="1:13" x14ac:dyDescent="0.3">
      <c r="A3318" t="s">
        <v>17</v>
      </c>
      <c r="B3318">
        <v>3317</v>
      </c>
      <c r="C3318" t="s">
        <v>1285</v>
      </c>
      <c r="D3318" t="s">
        <v>28</v>
      </c>
      <c r="E3318">
        <v>2018</v>
      </c>
      <c r="F3318" t="s">
        <v>138</v>
      </c>
      <c r="G3318" t="s">
        <v>14</v>
      </c>
      <c r="H3318" t="s">
        <v>26</v>
      </c>
      <c r="I3318" t="s">
        <v>40</v>
      </c>
      <c r="J3318">
        <v>0.212293753</v>
      </c>
      <c r="K3318">
        <v>10.219992295839765</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K3319">
        <v>11.142456011730232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K3320">
        <v>11.142456011730232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K3321">
        <v>11.142456011730232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K3322">
        <v>10.792698598130867</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K3323">
        <v>10.792698598130867</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K3324">
        <v>10.938344155844197</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K3325">
        <v>10.938344155844197</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K3326">
        <v>10.867682692307703</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K3327">
        <v>10.867682692307703</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K3328">
        <v>11.163752747252786</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K3329">
        <v>11.163752747252786</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K3330">
        <v>11.163752747252786</v>
      </c>
      <c r="L3330">
        <v>179.166</v>
      </c>
      <c r="M3330">
        <v>4</v>
      </c>
    </row>
    <row r="3331" spans="1:13" x14ac:dyDescent="0.3">
      <c r="A3331" t="s">
        <v>17</v>
      </c>
      <c r="B3331">
        <v>3330</v>
      </c>
      <c r="C3331" t="s">
        <v>998</v>
      </c>
      <c r="D3331" t="s">
        <v>64</v>
      </c>
      <c r="E3331">
        <v>2018</v>
      </c>
      <c r="F3331" t="s">
        <v>138</v>
      </c>
      <c r="G3331" t="s">
        <v>14</v>
      </c>
      <c r="H3331" t="s">
        <v>26</v>
      </c>
      <c r="I3331" t="s">
        <v>40</v>
      </c>
      <c r="J3331">
        <v>0.142393355</v>
      </c>
      <c r="K3331">
        <v>11.230177514792899</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K3332">
        <v>11.230177514792899</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K3333">
        <v>11.230177514792899</v>
      </c>
      <c r="L3333">
        <v>189.553</v>
      </c>
      <c r="M3333">
        <v>4</v>
      </c>
    </row>
    <row r="3334" spans="1:13" x14ac:dyDescent="0.3">
      <c r="A3334" t="s">
        <v>17</v>
      </c>
      <c r="B3334">
        <v>3333</v>
      </c>
      <c r="C3334" t="s">
        <v>47</v>
      </c>
      <c r="D3334" t="s">
        <v>48</v>
      </c>
      <c r="E3334">
        <v>2018</v>
      </c>
      <c r="F3334" t="s">
        <v>138</v>
      </c>
      <c r="G3334" t="s">
        <v>14</v>
      </c>
      <c r="H3334" t="s">
        <v>26</v>
      </c>
      <c r="I3334" t="s">
        <v>40</v>
      </c>
      <c r="J3334">
        <v>0.148764535</v>
      </c>
      <c r="K3334">
        <v>10.693354166666698</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K3335">
        <v>10.693354166666698</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K3336">
        <v>9.9571910112359632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K3337">
        <v>10.155138888888908</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K3338">
        <v>10.155138888888908</v>
      </c>
      <c r="L3338">
        <v>172.6422</v>
      </c>
      <c r="M3338">
        <v>4</v>
      </c>
    </row>
    <row r="3339" spans="1:13" x14ac:dyDescent="0.3">
      <c r="A3339" t="s">
        <v>10</v>
      </c>
      <c r="B3339">
        <v>3338</v>
      </c>
      <c r="C3339" t="s">
        <v>1457</v>
      </c>
      <c r="D3339" t="s">
        <v>57</v>
      </c>
      <c r="E3339">
        <v>2018</v>
      </c>
      <c r="F3339" t="s">
        <v>138</v>
      </c>
      <c r="G3339" t="s">
        <v>14</v>
      </c>
      <c r="H3339" t="s">
        <v>26</v>
      </c>
      <c r="I3339" t="s">
        <v>40</v>
      </c>
      <c r="J3339">
        <v>0.118535581</v>
      </c>
      <c r="K3339">
        <v>9.2222111553784849</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K3340">
        <v>10.219992295839765</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K3341">
        <v>11.142456011730232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K3342">
        <v>10.792698598130867</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K3343">
        <v>10.792698598130867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K3344">
        <v>10.938344155844197</v>
      </c>
      <c r="L3344">
        <v>193.982</v>
      </c>
      <c r="M3344">
        <v>4</v>
      </c>
    </row>
    <row r="3345" spans="1:13" x14ac:dyDescent="0.3">
      <c r="A3345" t="s">
        <v>10</v>
      </c>
      <c r="B3345">
        <v>3344</v>
      </c>
      <c r="C3345" t="s">
        <v>1426</v>
      </c>
      <c r="D3345" t="s">
        <v>12</v>
      </c>
      <c r="E3345">
        <v>2018</v>
      </c>
      <c r="F3345" t="s">
        <v>138</v>
      </c>
      <c r="G3345" t="s">
        <v>14</v>
      </c>
      <c r="H3345" t="s">
        <v>26</v>
      </c>
      <c r="I3345" t="s">
        <v>40</v>
      </c>
      <c r="J3345">
        <v>0.214139786</v>
      </c>
      <c r="K3345">
        <v>10.938344155844197</v>
      </c>
      <c r="L3345">
        <v>102.4016</v>
      </c>
      <c r="M3345">
        <v>4</v>
      </c>
    </row>
    <row r="3346" spans="1:13" x14ac:dyDescent="0.3">
      <c r="A3346" t="s">
        <v>10</v>
      </c>
      <c r="B3346">
        <v>3345</v>
      </c>
      <c r="C3346" t="s">
        <v>606</v>
      </c>
      <c r="D3346" t="s">
        <v>12</v>
      </c>
      <c r="E3346">
        <v>2018</v>
      </c>
      <c r="F3346" t="s">
        <v>138</v>
      </c>
      <c r="G3346" t="s">
        <v>14</v>
      </c>
      <c r="H3346" t="s">
        <v>26</v>
      </c>
      <c r="I3346" t="s">
        <v>40</v>
      </c>
      <c r="J3346">
        <v>0</v>
      </c>
      <c r="K3346">
        <v>10.938344155844197</v>
      </c>
      <c r="L3346">
        <v>178.5318</v>
      </c>
      <c r="M3346">
        <v>4</v>
      </c>
    </row>
    <row r="3347" spans="1:13" x14ac:dyDescent="0.3">
      <c r="A3347" t="s">
        <v>10</v>
      </c>
      <c r="B3347">
        <v>3346</v>
      </c>
      <c r="C3347" t="s">
        <v>1311</v>
      </c>
      <c r="D3347" t="s">
        <v>48</v>
      </c>
      <c r="E3347">
        <v>2018</v>
      </c>
      <c r="F3347" t="s">
        <v>138</v>
      </c>
      <c r="G3347" t="s">
        <v>14</v>
      </c>
      <c r="H3347" t="s">
        <v>26</v>
      </c>
      <c r="I3347" t="s">
        <v>40</v>
      </c>
      <c r="J3347">
        <v>1.251245E-2</v>
      </c>
      <c r="K3347">
        <v>10.693354166666698</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K3348">
        <v>10.693354166666698</v>
      </c>
      <c r="L3348">
        <v>210.99279999999999</v>
      </c>
      <c r="M3348">
        <v>4</v>
      </c>
    </row>
    <row r="3349" spans="1:13" x14ac:dyDescent="0.3">
      <c r="A3349" t="s">
        <v>17</v>
      </c>
      <c r="B3349">
        <v>3348</v>
      </c>
      <c r="C3349" t="s">
        <v>585</v>
      </c>
      <c r="D3349" t="s">
        <v>67</v>
      </c>
      <c r="E3349">
        <v>2018</v>
      </c>
      <c r="F3349" t="s">
        <v>138</v>
      </c>
      <c r="G3349" t="s">
        <v>14</v>
      </c>
      <c r="H3349" t="s">
        <v>26</v>
      </c>
      <c r="I3349" t="s">
        <v>40</v>
      </c>
      <c r="J3349">
        <v>0.10818157</v>
      </c>
      <c r="K3349">
        <v>11.142456011730232</v>
      </c>
      <c r="L3349">
        <v>149.60499999999999</v>
      </c>
      <c r="M3349">
        <v>4</v>
      </c>
    </row>
    <row r="3350" spans="1:13" x14ac:dyDescent="0.3">
      <c r="A3350" t="s">
        <v>17</v>
      </c>
      <c r="B3350">
        <v>3349</v>
      </c>
      <c r="C3350" t="s">
        <v>694</v>
      </c>
      <c r="D3350" t="s">
        <v>42</v>
      </c>
      <c r="E3350">
        <v>2018</v>
      </c>
      <c r="F3350" t="s">
        <v>138</v>
      </c>
      <c r="G3350" t="s">
        <v>14</v>
      </c>
      <c r="H3350" t="s">
        <v>26</v>
      </c>
      <c r="I3350" t="s">
        <v>40</v>
      </c>
      <c r="J3350">
        <v>2.4992442E-2</v>
      </c>
      <c r="K3350">
        <v>11.163752747252786</v>
      </c>
      <c r="L3350">
        <v>53.6614</v>
      </c>
      <c r="M3350">
        <v>4</v>
      </c>
    </row>
    <row r="3351" spans="1:13" x14ac:dyDescent="0.3">
      <c r="A3351" t="s">
        <v>17</v>
      </c>
      <c r="B3351">
        <v>3350</v>
      </c>
      <c r="C3351" t="s">
        <v>953</v>
      </c>
      <c r="D3351" t="s">
        <v>48</v>
      </c>
      <c r="E3351">
        <v>2018</v>
      </c>
      <c r="F3351" t="s">
        <v>138</v>
      </c>
      <c r="G3351" t="s">
        <v>14</v>
      </c>
      <c r="H3351" t="s">
        <v>26</v>
      </c>
      <c r="I3351" t="s">
        <v>40</v>
      </c>
      <c r="J3351">
        <v>7.8872251000000004E-2</v>
      </c>
      <c r="K3351">
        <v>10.693354166666698</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K3352">
        <v>10.155138888888908</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17</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K3766">
        <v>9.2222111553784849</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K3767">
        <v>9.9571910112359632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K3768">
        <v>10.155138888888908</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K3769">
        <v>10.155138888888908</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K3770">
        <v>10.155138888888908</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K3771">
        <v>10.155138888888908</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K3772">
        <v>9.2222111553784849</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K3773">
        <v>9.2222111553784849</v>
      </c>
      <c r="L3773">
        <v>120.7098</v>
      </c>
      <c r="M3773">
        <v>4</v>
      </c>
    </row>
    <row r="3774" spans="1:13" x14ac:dyDescent="0.3">
      <c r="A3774" t="s">
        <v>17</v>
      </c>
      <c r="B3774">
        <v>3773</v>
      </c>
      <c r="C3774" t="s">
        <v>704</v>
      </c>
      <c r="D3774" t="s">
        <v>57</v>
      </c>
      <c r="E3774">
        <v>2018</v>
      </c>
      <c r="F3774" t="s">
        <v>45</v>
      </c>
      <c r="G3774" t="s">
        <v>21</v>
      </c>
      <c r="H3774" t="s">
        <v>15</v>
      </c>
      <c r="I3774" t="s">
        <v>46</v>
      </c>
      <c r="J3774">
        <v>7.8831762E-2</v>
      </c>
      <c r="K3774">
        <v>9.2222111553784849</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K3775">
        <v>9.2222111553784849</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K3776">
        <v>11.142456011730232</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K3777">
        <v>11.142456011730232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K3778">
        <v>10.792698598130867</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K3779">
        <v>10.792698598130867</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K3780">
        <v>10.792698598130867</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K3781">
        <v>10.792698598130867</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K3782">
        <v>10.938344155844197</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K3783">
        <v>10.938344155844197</v>
      </c>
      <c r="L3783">
        <v>82.390799999999999</v>
      </c>
      <c r="M3783">
        <v>4</v>
      </c>
    </row>
    <row r="3784" spans="1:13" x14ac:dyDescent="0.3">
      <c r="A3784" t="s">
        <v>17</v>
      </c>
      <c r="B3784">
        <v>3783</v>
      </c>
      <c r="C3784" t="s">
        <v>169</v>
      </c>
      <c r="D3784" t="s">
        <v>12</v>
      </c>
      <c r="E3784">
        <v>2018</v>
      </c>
      <c r="F3784" t="s">
        <v>45</v>
      </c>
      <c r="G3784" t="s">
        <v>21</v>
      </c>
      <c r="H3784" t="s">
        <v>15</v>
      </c>
      <c r="I3784" t="s">
        <v>46</v>
      </c>
      <c r="J3784">
        <v>0</v>
      </c>
      <c r="K3784">
        <v>10.938344155844197</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K3785">
        <v>10.867682692307703</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K3786">
        <v>10.867682692307703</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K3787">
        <v>11.163752747252786</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K3788">
        <v>11.163752747252786</v>
      </c>
      <c r="L3788">
        <v>125.9336</v>
      </c>
      <c r="M3788">
        <v>4</v>
      </c>
    </row>
    <row r="3789" spans="1:13" x14ac:dyDescent="0.3">
      <c r="A3789" t="s">
        <v>17</v>
      </c>
      <c r="B3789">
        <v>3788</v>
      </c>
      <c r="C3789" t="s">
        <v>173</v>
      </c>
      <c r="D3789" t="s">
        <v>42</v>
      </c>
      <c r="E3789">
        <v>2018</v>
      </c>
      <c r="F3789" t="s">
        <v>45</v>
      </c>
      <c r="G3789" t="s">
        <v>21</v>
      </c>
      <c r="H3789" t="s">
        <v>15</v>
      </c>
      <c r="I3789" t="s">
        <v>46</v>
      </c>
      <c r="J3789">
        <v>0.107507291</v>
      </c>
      <c r="K3789">
        <v>11.163752747252786</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K3790">
        <v>10.16340000000001</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K3791">
        <v>11.230177514792899</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K3792">
        <v>10.003046875000003</v>
      </c>
      <c r="L3792">
        <v>157.56039999999999</v>
      </c>
      <c r="M3792">
        <v>4</v>
      </c>
    </row>
    <row r="3793" spans="1:13" x14ac:dyDescent="0.3">
      <c r="A3793" t="s">
        <v>17</v>
      </c>
      <c r="B3793">
        <v>3792</v>
      </c>
      <c r="C3793" t="s">
        <v>932</v>
      </c>
      <c r="D3793" t="s">
        <v>48</v>
      </c>
      <c r="E3793">
        <v>2018</v>
      </c>
      <c r="F3793" t="s">
        <v>45</v>
      </c>
      <c r="G3793" t="s">
        <v>21</v>
      </c>
      <c r="H3793" t="s">
        <v>15</v>
      </c>
      <c r="I3793" t="s">
        <v>46</v>
      </c>
      <c r="J3793">
        <v>0</v>
      </c>
      <c r="K3793">
        <v>10.693354166666698</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K3794">
        <v>10.693354166666698</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K3795">
        <v>10.693354166666698</v>
      </c>
      <c r="L3795">
        <v>167.2816</v>
      </c>
      <c r="M3795">
        <v>4</v>
      </c>
    </row>
    <row r="3796" spans="1:13" x14ac:dyDescent="0.3">
      <c r="A3796" t="s">
        <v>17</v>
      </c>
      <c r="B3796">
        <v>3795</v>
      </c>
      <c r="C3796" t="s">
        <v>916</v>
      </c>
      <c r="D3796" t="s">
        <v>48</v>
      </c>
      <c r="E3796">
        <v>2018</v>
      </c>
      <c r="F3796" t="s">
        <v>45</v>
      </c>
      <c r="G3796" t="s">
        <v>21</v>
      </c>
      <c r="H3796" t="s">
        <v>15</v>
      </c>
      <c r="I3796" t="s">
        <v>46</v>
      </c>
      <c r="J3796">
        <v>0</v>
      </c>
      <c r="K3796">
        <v>10.693354166666698</v>
      </c>
      <c r="L3796">
        <v>248.8092</v>
      </c>
      <c r="M3796">
        <v>4</v>
      </c>
    </row>
    <row r="3797" spans="1:13" x14ac:dyDescent="0.3">
      <c r="A3797" t="s">
        <v>17</v>
      </c>
      <c r="B3797">
        <v>3796</v>
      </c>
      <c r="C3797" t="s">
        <v>984</v>
      </c>
      <c r="D3797" t="s">
        <v>32</v>
      </c>
      <c r="E3797">
        <v>2018</v>
      </c>
      <c r="F3797" t="s">
        <v>45</v>
      </c>
      <c r="G3797" t="s">
        <v>21</v>
      </c>
      <c r="H3797" t="s">
        <v>15</v>
      </c>
      <c r="I3797" t="s">
        <v>46</v>
      </c>
      <c r="J3797">
        <v>0.112349962</v>
      </c>
      <c r="K3797">
        <v>9.9571910112359632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K3798">
        <v>9.9571910112359632</v>
      </c>
      <c r="L3798">
        <v>121.044</v>
      </c>
      <c r="M3798">
        <v>4</v>
      </c>
    </row>
    <row r="3799" spans="1:13" x14ac:dyDescent="0.3">
      <c r="A3799" t="s">
        <v>10</v>
      </c>
      <c r="B3799">
        <v>3798</v>
      </c>
      <c r="C3799" t="s">
        <v>1398</v>
      </c>
      <c r="D3799" t="s">
        <v>95</v>
      </c>
      <c r="E3799">
        <v>2018</v>
      </c>
      <c r="F3799" t="s">
        <v>45</v>
      </c>
      <c r="G3799" t="s">
        <v>21</v>
      </c>
      <c r="H3799" t="s">
        <v>15</v>
      </c>
      <c r="I3799" t="s">
        <v>46</v>
      </c>
      <c r="J3799">
        <v>3.4244601E-2</v>
      </c>
      <c r="K3799">
        <v>10.155138888888908</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K3800">
        <v>10.155138888888908</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K3801">
        <v>9.2222111553784849</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K3802">
        <v>10.219992295839765</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K3803">
        <v>10.219992295839765</v>
      </c>
      <c r="L3803">
        <v>173.7422</v>
      </c>
      <c r="M3803">
        <v>4</v>
      </c>
    </row>
    <row r="3804" spans="1:13" x14ac:dyDescent="0.3">
      <c r="A3804" t="s">
        <v>10</v>
      </c>
      <c r="B3804">
        <v>3803</v>
      </c>
      <c r="C3804" t="s">
        <v>978</v>
      </c>
      <c r="D3804" t="s">
        <v>67</v>
      </c>
      <c r="E3804">
        <v>2018</v>
      </c>
      <c r="F3804" t="s">
        <v>45</v>
      </c>
      <c r="G3804" t="s">
        <v>21</v>
      </c>
      <c r="H3804" t="s">
        <v>15</v>
      </c>
      <c r="I3804" t="s">
        <v>46</v>
      </c>
      <c r="J3804">
        <v>2.2403117E-2</v>
      </c>
      <c r="K3804">
        <v>11.142456011730232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K3805">
        <v>11.142456011730232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K3806">
        <v>10.792698598130867</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K3807">
        <v>10.792698598130867</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K3808">
        <v>10.792698598130867</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K3809">
        <v>10.792698598130867</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K3810">
        <v>10.938344155844197</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K3811">
        <v>10.938344155844197</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K3812">
        <v>10.938344155844197</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K3813">
        <v>10.938344155844197</v>
      </c>
      <c r="L3813">
        <v>115.9466</v>
      </c>
      <c r="M3813">
        <v>4</v>
      </c>
    </row>
    <row r="3814" spans="1:13" x14ac:dyDescent="0.3">
      <c r="A3814" t="s">
        <v>10</v>
      </c>
      <c r="B3814">
        <v>3813</v>
      </c>
      <c r="C3814" t="s">
        <v>256</v>
      </c>
      <c r="D3814" t="s">
        <v>12</v>
      </c>
      <c r="E3814">
        <v>2018</v>
      </c>
      <c r="F3814" t="s">
        <v>45</v>
      </c>
      <c r="G3814" t="s">
        <v>21</v>
      </c>
      <c r="H3814" t="s">
        <v>15</v>
      </c>
      <c r="I3814" t="s">
        <v>46</v>
      </c>
      <c r="J3814">
        <v>1.4295564E-2</v>
      </c>
      <c r="K3814">
        <v>10.938344155844197</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K3815">
        <v>10.938344155844197</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K3816">
        <v>10.938344155844197</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K3817">
        <v>10.938344155844197</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K3818">
        <v>10.16340000000001</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K3819">
        <v>10.16340000000001</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K3820">
        <v>10.16340000000001</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K3821">
        <v>10.16340000000001</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K3822">
        <v>10.693354166666698</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K3823">
        <v>10.693354166666698</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K3824">
        <v>10.693354166666698</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K3825">
        <v>10.693354166666698</v>
      </c>
      <c r="L3825">
        <v>252.2724</v>
      </c>
      <c r="M3825">
        <v>4</v>
      </c>
    </row>
    <row r="3826" spans="1:13" x14ac:dyDescent="0.3">
      <c r="A3826" t="s">
        <v>10</v>
      </c>
      <c r="B3826">
        <v>3825</v>
      </c>
      <c r="C3826" t="s">
        <v>520</v>
      </c>
      <c r="D3826" t="s">
        <v>32</v>
      </c>
      <c r="E3826">
        <v>2018</v>
      </c>
      <c r="F3826" t="s">
        <v>45</v>
      </c>
      <c r="G3826" t="s">
        <v>21</v>
      </c>
      <c r="H3826" t="s">
        <v>15</v>
      </c>
      <c r="I3826" t="s">
        <v>46</v>
      </c>
      <c r="J3826">
        <v>0.127308434</v>
      </c>
      <c r="K3826">
        <v>9.9571910112359632</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K3827">
        <v>12.025641891891883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K3828">
        <v>12.025641891891883</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K3831">
        <v>10.155138888888908</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K3833">
        <v>10.938344155844197</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K3847">
        <v>10.693354166666698</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K3849">
        <v>10.938344155844197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K3895">
        <v>10.938344155844197</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K3896">
        <v>9.9571910112359632</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K3897">
        <v>10.155138888888908</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K3898">
        <v>10.219992295839765</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K3899">
        <v>10.792698598130867</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K3900">
        <v>10.938344155844197</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K3901">
        <v>10.938344155844197</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K3902">
        <v>9.7488785046728896</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K3903">
        <v>10.867682692307703</v>
      </c>
      <c r="L3903">
        <v>36.3874</v>
      </c>
      <c r="M3903">
        <v>3.9</v>
      </c>
    </row>
    <row r="3904" spans="1:13" x14ac:dyDescent="0.3">
      <c r="A3904" t="s">
        <v>17</v>
      </c>
      <c r="B3904">
        <v>3903</v>
      </c>
      <c r="C3904" t="s">
        <v>591</v>
      </c>
      <c r="D3904" t="s">
        <v>19</v>
      </c>
      <c r="E3904">
        <v>2018</v>
      </c>
      <c r="F3904" t="s">
        <v>138</v>
      </c>
      <c r="G3904" t="s">
        <v>14</v>
      </c>
      <c r="H3904" t="s">
        <v>26</v>
      </c>
      <c r="I3904" t="s">
        <v>40</v>
      </c>
      <c r="J3904">
        <v>2.8382853E-2</v>
      </c>
      <c r="K3904">
        <v>10.867682692307703</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K3905">
        <v>10.867682692307703</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K3906">
        <v>11.163752747252786</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K3907">
        <v>11.163752747252786</v>
      </c>
      <c r="L3907">
        <v>195.5478</v>
      </c>
      <c r="M3907">
        <v>3.9</v>
      </c>
    </row>
    <row r="3908" spans="1:13" x14ac:dyDescent="0.3">
      <c r="A3908" t="s">
        <v>17</v>
      </c>
      <c r="B3908">
        <v>3907</v>
      </c>
      <c r="C3908" t="s">
        <v>114</v>
      </c>
      <c r="D3908" t="s">
        <v>42</v>
      </c>
      <c r="E3908">
        <v>2018</v>
      </c>
      <c r="F3908" t="s">
        <v>138</v>
      </c>
      <c r="G3908" t="s">
        <v>14</v>
      </c>
      <c r="H3908" t="s">
        <v>26</v>
      </c>
      <c r="I3908" t="s">
        <v>40</v>
      </c>
      <c r="J3908">
        <v>0.19875618</v>
      </c>
      <c r="K3908">
        <v>11.163752747252786</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K3909">
        <v>11.230177514792899</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K3910">
        <v>9.2222111553784849</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K3911">
        <v>11.142456011730232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K3912">
        <v>11.142456011730232</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K3913">
        <v>11.142456011730232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K3914">
        <v>10.938344155844197</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K3915">
        <v>10.938344155844197</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K3916">
        <v>10.693354166666698</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17</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17</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K4104">
        <v>10.155138888888908</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K4105">
        <v>10.219992295839765</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K4106">
        <v>11.142456011730232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K4107">
        <v>11.142456011730232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K4108">
        <v>11.142456011730232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K4109">
        <v>10.792698598130867</v>
      </c>
      <c r="L4109">
        <v>179.0976</v>
      </c>
      <c r="M4109">
        <v>3.9</v>
      </c>
    </row>
    <row r="4110" spans="1:13" x14ac:dyDescent="0.3">
      <c r="A4110" t="s">
        <v>17</v>
      </c>
      <c r="B4110">
        <v>4109</v>
      </c>
      <c r="C4110" t="s">
        <v>81</v>
      </c>
      <c r="D4110" t="s">
        <v>12</v>
      </c>
      <c r="E4110">
        <v>2018</v>
      </c>
      <c r="F4110" t="s">
        <v>45</v>
      </c>
      <c r="G4110" t="s">
        <v>21</v>
      </c>
      <c r="H4110" t="s">
        <v>15</v>
      </c>
      <c r="I4110" t="s">
        <v>46</v>
      </c>
      <c r="J4110">
        <v>0</v>
      </c>
      <c r="K4110">
        <v>10.938344155844197</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K4111">
        <v>11.163752747252786</v>
      </c>
      <c r="L4111">
        <v>192.982</v>
      </c>
      <c r="M4111">
        <v>3.9</v>
      </c>
    </row>
    <row r="4112" spans="1:13" x14ac:dyDescent="0.3">
      <c r="A4112" t="s">
        <v>17</v>
      </c>
      <c r="B4112">
        <v>4111</v>
      </c>
      <c r="C4112" t="s">
        <v>1263</v>
      </c>
      <c r="D4112" t="s">
        <v>42</v>
      </c>
      <c r="E4112">
        <v>2018</v>
      </c>
      <c r="F4112" t="s">
        <v>45</v>
      </c>
      <c r="G4112" t="s">
        <v>21</v>
      </c>
      <c r="H4112" t="s">
        <v>15</v>
      </c>
      <c r="I4112" t="s">
        <v>46</v>
      </c>
      <c r="J4112">
        <v>1.3066448E-2</v>
      </c>
      <c r="K4112">
        <v>11.163752747252786</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K4113">
        <v>11.163752747252786</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K4114">
        <v>11.163752747252786</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K4115">
        <v>11.163752747252786</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K4116">
        <v>11.163752747252786</v>
      </c>
      <c r="L4116">
        <v>99.67</v>
      </c>
      <c r="M4116">
        <v>3.9</v>
      </c>
    </row>
    <row r="4117" spans="1:13" x14ac:dyDescent="0.3">
      <c r="A4117" t="s">
        <v>17</v>
      </c>
      <c r="B4117">
        <v>4116</v>
      </c>
      <c r="C4117" t="s">
        <v>1252</v>
      </c>
      <c r="D4117" t="s">
        <v>54</v>
      </c>
      <c r="E4117">
        <v>2018</v>
      </c>
      <c r="F4117" t="s">
        <v>45</v>
      </c>
      <c r="G4117" t="s">
        <v>21</v>
      </c>
      <c r="H4117" t="s">
        <v>15</v>
      </c>
      <c r="I4117" t="s">
        <v>46</v>
      </c>
      <c r="J4117">
        <v>0.145464606</v>
      </c>
      <c r="K4117">
        <v>10.16340000000001</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K4118">
        <v>10.693354166666698</v>
      </c>
      <c r="L4118">
        <v>222.7088</v>
      </c>
      <c r="M4118">
        <v>3.9</v>
      </c>
    </row>
    <row r="4119" spans="1:13" x14ac:dyDescent="0.3">
      <c r="A4119" t="s">
        <v>17</v>
      </c>
      <c r="B4119">
        <v>4118</v>
      </c>
      <c r="C4119" t="s">
        <v>1537</v>
      </c>
      <c r="D4119" t="s">
        <v>32</v>
      </c>
      <c r="E4119">
        <v>2018</v>
      </c>
      <c r="F4119" t="s">
        <v>45</v>
      </c>
      <c r="G4119" t="s">
        <v>21</v>
      </c>
      <c r="H4119" t="s">
        <v>15</v>
      </c>
      <c r="I4119" t="s">
        <v>46</v>
      </c>
      <c r="J4119">
        <v>0</v>
      </c>
      <c r="K4119">
        <v>9.9571910112359632</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K4120">
        <v>10.155138888888908</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K4121">
        <v>9.2222111553784849</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K4122">
        <v>10.792698598130867</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K4123">
        <v>10.792698598130867</v>
      </c>
      <c r="L4123">
        <v>128.131</v>
      </c>
      <c r="M4123">
        <v>3.9</v>
      </c>
    </row>
    <row r="4124" spans="1:13" x14ac:dyDescent="0.3">
      <c r="A4124" t="s">
        <v>10</v>
      </c>
      <c r="B4124">
        <v>4123</v>
      </c>
      <c r="C4124" t="s">
        <v>1484</v>
      </c>
      <c r="D4124" t="s">
        <v>12</v>
      </c>
      <c r="E4124">
        <v>2018</v>
      </c>
      <c r="F4124" t="s">
        <v>45</v>
      </c>
      <c r="G4124" t="s">
        <v>21</v>
      </c>
      <c r="H4124" t="s">
        <v>15</v>
      </c>
      <c r="I4124" t="s">
        <v>46</v>
      </c>
      <c r="J4124">
        <v>2.2807826E-2</v>
      </c>
      <c r="K4124">
        <v>10.938344155844197</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K4125">
        <v>10.938344155844197</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K4126">
        <v>10.16340000000001</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K4127">
        <v>10.003046875000003</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K4128">
        <v>10.693354166666698</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K4129">
        <v>9.9571910112359632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K4130">
        <v>10.867682692307703</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K4136">
        <v>10.693354166666698</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K4140">
        <v>10.155138888888908</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K4152">
        <v>10.867682692307703</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K4178">
        <v>10.693354166666698</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K4179">
        <v>10.693354166666698</v>
      </c>
      <c r="L4179">
        <v>196.011</v>
      </c>
      <c r="M4179">
        <v>3.8</v>
      </c>
    </row>
    <row r="4180" spans="1:13" x14ac:dyDescent="0.3">
      <c r="A4180" t="s">
        <v>17</v>
      </c>
      <c r="B4180">
        <v>4179</v>
      </c>
      <c r="C4180" t="s">
        <v>644</v>
      </c>
      <c r="D4180" t="s">
        <v>32</v>
      </c>
      <c r="E4180">
        <v>2018</v>
      </c>
      <c r="F4180" t="s">
        <v>138</v>
      </c>
      <c r="G4180" t="s">
        <v>14</v>
      </c>
      <c r="H4180" t="s">
        <v>26</v>
      </c>
      <c r="I4180" t="s">
        <v>40</v>
      </c>
      <c r="J4180">
        <v>3.3929133E-2</v>
      </c>
      <c r="K4180">
        <v>9.9571910112359632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K4181">
        <v>10.155138888888908</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K4182">
        <v>10.155138888888908</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K4183">
        <v>10.219992295839765</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K4184">
        <v>10.938344155844197</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K4185">
        <v>9.7488785046728896</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K4186">
        <v>10.867682692307703</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K4187">
        <v>11.163752747252786</v>
      </c>
      <c r="L4187">
        <v>262.291</v>
      </c>
      <c r="M4187">
        <v>3.8</v>
      </c>
    </row>
    <row r="4188" spans="1:13" x14ac:dyDescent="0.3">
      <c r="A4188" t="s">
        <v>17</v>
      </c>
      <c r="B4188">
        <v>4187</v>
      </c>
      <c r="C4188" t="s">
        <v>631</v>
      </c>
      <c r="D4188" t="s">
        <v>64</v>
      </c>
      <c r="E4188">
        <v>2018</v>
      </c>
      <c r="F4188" t="s">
        <v>138</v>
      </c>
      <c r="G4188" t="s">
        <v>14</v>
      </c>
      <c r="H4188" t="s">
        <v>26</v>
      </c>
      <c r="I4188" t="s">
        <v>40</v>
      </c>
      <c r="J4188">
        <v>1.1835436E-2</v>
      </c>
      <c r="K4188">
        <v>11.230177514792899</v>
      </c>
      <c r="L4188">
        <v>121.373</v>
      </c>
      <c r="M4188">
        <v>3.8</v>
      </c>
    </row>
    <row r="4189" spans="1:13" x14ac:dyDescent="0.3">
      <c r="A4189" t="s">
        <v>10</v>
      </c>
      <c r="B4189">
        <v>4188</v>
      </c>
      <c r="C4189" t="s">
        <v>420</v>
      </c>
      <c r="D4189" t="s">
        <v>95</v>
      </c>
      <c r="E4189">
        <v>2018</v>
      </c>
      <c r="F4189" t="s">
        <v>138</v>
      </c>
      <c r="G4189" t="s">
        <v>14</v>
      </c>
      <c r="H4189" t="s">
        <v>26</v>
      </c>
      <c r="I4189" t="s">
        <v>40</v>
      </c>
      <c r="J4189">
        <v>0</v>
      </c>
      <c r="K4189">
        <v>10.155138888888908</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K4190">
        <v>10.155138888888908</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K4191">
        <v>10.938344155844197</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17</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K4355">
        <v>10.938344155844197</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K4356">
        <v>10.155138888888908</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K4357">
        <v>10.219992295839765</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K4358">
        <v>10.219992295839765</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K4359">
        <v>10.792698598130867</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K4360">
        <v>10.938344155844197</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K4361">
        <v>10.938344155844197</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K4362">
        <v>10.938344155844197</v>
      </c>
      <c r="L4362">
        <v>185.6266</v>
      </c>
      <c r="M4362">
        <v>3.8</v>
      </c>
    </row>
    <row r="4363" spans="1:13" x14ac:dyDescent="0.3">
      <c r="A4363" t="s">
        <v>17</v>
      </c>
      <c r="B4363">
        <v>4362</v>
      </c>
      <c r="C4363" t="s">
        <v>143</v>
      </c>
      <c r="D4363" t="s">
        <v>12</v>
      </c>
      <c r="E4363">
        <v>2018</v>
      </c>
      <c r="F4363" t="s">
        <v>45</v>
      </c>
      <c r="G4363" t="s">
        <v>21</v>
      </c>
      <c r="H4363" t="s">
        <v>15</v>
      </c>
      <c r="I4363" t="s">
        <v>46</v>
      </c>
      <c r="J4363">
        <v>2.5612348E-2</v>
      </c>
      <c r="K4363">
        <v>10.938344155844197</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K4364">
        <v>9.7488785046728896</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K4365">
        <v>9.7488785046728896</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K4366">
        <v>11.163752747252786</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K4367">
        <v>11.163752747252786</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K4368">
        <v>11.163752747252786</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K4369">
        <v>11.230177514792899</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K4370">
        <v>11.230177514792899</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K4371">
        <v>10.003046875000003</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K4372">
        <v>10.693354166666698</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K4373">
        <v>10.155138888888908</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K4374">
        <v>10.219992295839765</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K4375">
        <v>10.219992295839765</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K4376">
        <v>10.219992295839765</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K4377">
        <v>10.219992295839765</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K4378">
        <v>10.16340000000001</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K4379">
        <v>10.16340000000001</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K4380">
        <v>10.16340000000001</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K4381">
        <v>10.16340000000001</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K4382">
        <v>10.693354166666698</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K4383">
        <v>10.938344155844197</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K4386">
        <v>10.693354166666698</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K4389">
        <v>11.163752747252786</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K4393">
        <v>10.938344155844197</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K4394">
        <v>11.163752747252786</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K4395">
        <v>10.219992295839765</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K4396">
        <v>10.693354166666698</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K4403">
        <v>10.693354166666698</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K4434">
        <v>10.155138888888908</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K4435">
        <v>10.938344155844197</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K4436">
        <v>11.163752747252786</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K4437">
        <v>11.163752747252786</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K4438">
        <v>10.16340000000001</v>
      </c>
      <c r="L4438">
        <v>122.2756</v>
      </c>
      <c r="M4438">
        <v>3.7</v>
      </c>
    </row>
    <row r="4439" spans="1:13" x14ac:dyDescent="0.3">
      <c r="A4439" t="s">
        <v>17</v>
      </c>
      <c r="B4439">
        <v>4438</v>
      </c>
      <c r="C4439" t="s">
        <v>861</v>
      </c>
      <c r="D4439" t="s">
        <v>54</v>
      </c>
      <c r="E4439">
        <v>2018</v>
      </c>
      <c r="F4439" t="s">
        <v>138</v>
      </c>
      <c r="G4439" t="s">
        <v>14</v>
      </c>
      <c r="H4439" t="s">
        <v>26</v>
      </c>
      <c r="I4439" t="s">
        <v>40</v>
      </c>
      <c r="J4439">
        <v>0.121554149</v>
      </c>
      <c r="K4439">
        <v>10.16340000000001</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K4440">
        <v>11.230177514792899</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K4441">
        <v>10.693354166666698</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K4442">
        <v>10.693354166666698</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K4443">
        <v>9.9571910112359632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K4444">
        <v>10.219992295839765</v>
      </c>
      <c r="L4444">
        <v>200.4742</v>
      </c>
      <c r="M4444">
        <v>3.7</v>
      </c>
    </row>
    <row r="4445" spans="1:13" x14ac:dyDescent="0.3">
      <c r="A4445" t="s">
        <v>10</v>
      </c>
      <c r="B4445">
        <v>4444</v>
      </c>
      <c r="C4445" t="s">
        <v>775</v>
      </c>
      <c r="D4445" t="s">
        <v>28</v>
      </c>
      <c r="E4445">
        <v>2018</v>
      </c>
      <c r="F4445" t="s">
        <v>138</v>
      </c>
      <c r="G4445" t="s">
        <v>14</v>
      </c>
      <c r="H4445" t="s">
        <v>26</v>
      </c>
      <c r="I4445" t="s">
        <v>40</v>
      </c>
      <c r="J4445">
        <v>2.1002171E-2</v>
      </c>
      <c r="K4445">
        <v>10.219992295839765</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K4446">
        <v>10.938344155844197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17</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K4578">
        <v>10.792698598130867</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K4579">
        <v>11.163752747252786</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K4580">
        <v>11.163752747252786</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K4581">
        <v>10.16340000000001</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K4582">
        <v>10.693354166666698</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K4583">
        <v>10.693354166666698</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K4584">
        <v>10.693354166666698</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K4585">
        <v>10.693354166666698</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K4586">
        <v>10.693354166666698</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K4587">
        <v>9.9571910112359632</v>
      </c>
      <c r="L4587">
        <v>173.1422</v>
      </c>
      <c r="M4587">
        <v>3.7</v>
      </c>
    </row>
    <row r="4588" spans="1:13" x14ac:dyDescent="0.3">
      <c r="A4588" t="s">
        <v>10</v>
      </c>
      <c r="B4588">
        <v>4587</v>
      </c>
      <c r="C4588" t="s">
        <v>135</v>
      </c>
      <c r="D4588" t="s">
        <v>95</v>
      </c>
      <c r="E4588">
        <v>2018</v>
      </c>
      <c r="F4588" t="s">
        <v>45</v>
      </c>
      <c r="G4588" t="s">
        <v>21</v>
      </c>
      <c r="H4588" t="s">
        <v>15</v>
      </c>
      <c r="I4588" t="s">
        <v>46</v>
      </c>
      <c r="J4588">
        <v>0</v>
      </c>
      <c r="K4588">
        <v>10.155138888888908</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K4589">
        <v>9.2222111553784849</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K4590">
        <v>11.142456011730232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K4591">
        <v>10.938344155844197</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K4592">
        <v>10.693354166666698</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K4593">
        <v>9.9571910112359632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K4594">
        <v>12.025641891891883</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K4601">
        <v>11.142456011730232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K4602">
        <v>10.003046875000003</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K4610">
        <v>10.693354166666698</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K4622">
        <v>10.792698598130867</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K4623">
        <v>9.7488785046728896</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K4624">
        <v>11.230177514792899</v>
      </c>
      <c r="L4624">
        <v>153.934</v>
      </c>
      <c r="M4624">
        <v>3.6</v>
      </c>
    </row>
    <row r="4625" spans="1:13" x14ac:dyDescent="0.3">
      <c r="A4625" t="s">
        <v>17</v>
      </c>
      <c r="B4625">
        <v>4624</v>
      </c>
      <c r="C4625" t="s">
        <v>246</v>
      </c>
      <c r="D4625" t="s">
        <v>48</v>
      </c>
      <c r="E4625">
        <v>2018</v>
      </c>
      <c r="F4625" t="s">
        <v>138</v>
      </c>
      <c r="G4625" t="s">
        <v>14</v>
      </c>
      <c r="H4625" t="s">
        <v>26</v>
      </c>
      <c r="I4625" t="s">
        <v>40</v>
      </c>
      <c r="J4625">
        <v>0.160665697</v>
      </c>
      <c r="K4625">
        <v>10.693354166666698</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K4626">
        <v>10.693354166666698</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K4627">
        <v>10.219992295839765</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K4628">
        <v>10.16340000000001</v>
      </c>
      <c r="L4628">
        <v>230.5352</v>
      </c>
      <c r="M4628">
        <v>3.6</v>
      </c>
    </row>
    <row r="4629" spans="1:13" x14ac:dyDescent="0.3">
      <c r="A4629" t="s">
        <v>10</v>
      </c>
      <c r="B4629">
        <v>4628</v>
      </c>
      <c r="C4629" t="s">
        <v>262</v>
      </c>
      <c r="D4629" t="s">
        <v>48</v>
      </c>
      <c r="E4629">
        <v>2018</v>
      </c>
      <c r="F4629" t="s">
        <v>138</v>
      </c>
      <c r="G4629" t="s">
        <v>14</v>
      </c>
      <c r="H4629" t="s">
        <v>26</v>
      </c>
      <c r="I4629" t="s">
        <v>40</v>
      </c>
      <c r="J4629">
        <v>0</v>
      </c>
      <c r="K4629">
        <v>10.693354166666698</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K4729">
        <v>11.142456011730232</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K4730">
        <v>11.142456011730232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K4731">
        <v>10.938344155844197</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K4732">
        <v>10.938344155844197</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K4733">
        <v>9.7488785046728896</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K4734">
        <v>11.163752747252786</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K4735">
        <v>11.163752747252786</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K4736">
        <v>11.163752747252786</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K4737">
        <v>10.155138888888908</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K4738">
        <v>11.142456011730232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K4739">
        <v>10.938344155844197</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K4740">
        <v>10.16340000000001</v>
      </c>
      <c r="L4740">
        <v>103.499</v>
      </c>
      <c r="M4740">
        <v>3.6</v>
      </c>
    </row>
    <row r="4741" spans="1:13" x14ac:dyDescent="0.3">
      <c r="A4741" t="s">
        <v>10</v>
      </c>
      <c r="B4741">
        <v>4740</v>
      </c>
      <c r="C4741" t="s">
        <v>838</v>
      </c>
      <c r="D4741" t="s">
        <v>48</v>
      </c>
      <c r="E4741">
        <v>2018</v>
      </c>
      <c r="F4741" t="s">
        <v>45</v>
      </c>
      <c r="G4741" t="s">
        <v>21</v>
      </c>
      <c r="H4741" t="s">
        <v>15</v>
      </c>
      <c r="I4741" t="s">
        <v>46</v>
      </c>
      <c r="J4741">
        <v>5.6328717E-2</v>
      </c>
      <c r="K4741">
        <v>10.693354166666698</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K4742">
        <v>10.693354166666698</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K4743">
        <v>10.693354166666698</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K4744">
        <v>10.792698598130867</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K4768">
        <v>10.219992295839765</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K4785">
        <v>10.792698598130867</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K4786">
        <v>10.693354166666698</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K4787">
        <v>10.16340000000001</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K4788">
        <v>9.9571910112359632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K4898">
        <v>9.2222111553784849</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K4899">
        <v>10.219992295839765</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K4900">
        <v>11.142456011730232</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K4901">
        <v>11.142456011730232</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K4902">
        <v>10.938344155844197</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K4903">
        <v>10.938344155844197</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K4904">
        <v>10.938344155844197</v>
      </c>
      <c r="L4904">
        <v>162.7894</v>
      </c>
      <c r="M4904">
        <v>3.5</v>
      </c>
    </row>
    <row r="4905" spans="1:13" x14ac:dyDescent="0.3">
      <c r="A4905" t="s">
        <v>17</v>
      </c>
      <c r="B4905">
        <v>4904</v>
      </c>
      <c r="C4905" t="s">
        <v>1039</v>
      </c>
      <c r="D4905" t="s">
        <v>19</v>
      </c>
      <c r="E4905">
        <v>2018</v>
      </c>
      <c r="F4905" t="s">
        <v>45</v>
      </c>
      <c r="G4905" t="s">
        <v>21</v>
      </c>
      <c r="H4905" t="s">
        <v>15</v>
      </c>
      <c r="I4905" t="s">
        <v>46</v>
      </c>
      <c r="J4905">
        <v>1.8757586E-2</v>
      </c>
      <c r="K4905">
        <v>10.867682692307703</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K4906">
        <v>10.867682692307703</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K4907">
        <v>11.163752747252786</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K4908">
        <v>11.163752747252786</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K4909">
        <v>10.693354166666698</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K4910">
        <v>9.9571910112359632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K4911">
        <v>9.9571910112359632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K4912">
        <v>10.155138888888908</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K4913">
        <v>11.142456011730232</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K4914">
        <v>10.792698598130867</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K4915">
        <v>10.693354166666698</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K4933">
        <v>9.7488785046728896</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K4934">
        <v>10.693354166666698</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K4935">
        <v>10.693354166666698</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K4995">
        <v>10.155138888888908</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K4996">
        <v>11.163752747252786</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K4997">
        <v>10.16340000000001</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K4998">
        <v>11.142456011730232</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17</v>
      </c>
      <c r="B5001">
        <v>5000</v>
      </c>
      <c r="C5001" t="s">
        <v>307</v>
      </c>
      <c r="D5001" t="s">
        <v>32</v>
      </c>
      <c r="E5001">
        <v>2018</v>
      </c>
      <c r="F5001" t="s">
        <v>138</v>
      </c>
      <c r="G5001" t="s">
        <v>14</v>
      </c>
      <c r="H5001" t="s">
        <v>26</v>
      </c>
      <c r="I5001" t="s">
        <v>40</v>
      </c>
      <c r="J5001">
        <v>0.27897407499999999</v>
      </c>
      <c r="K5001">
        <v>9.9571910112359632</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17</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K5009">
        <v>9.9571910112359632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K5011">
        <v>9.2222111553784849</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K5021">
        <v>11.142456011730232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K5022">
        <v>10.867682692307703</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K5023">
        <v>10.867682692307703</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K5024">
        <v>9.9571910112359632</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K5025">
        <v>10.693354166666698</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K5112">
        <v>11.142456011730232</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K5113">
        <v>10.792698598130867</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K5114">
        <v>10.867682692307703</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K5115">
        <v>10.867682692307703</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K5116">
        <v>10.219992295839765</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K5117">
        <v>11.142456011730232</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K5118">
        <v>10.16340000000001</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K5119">
        <v>10.16340000000001</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K5133">
        <v>10.938344155844197</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K5134">
        <v>11.142456011730232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K5135">
        <v>10.693354166666698</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K5168">
        <v>10.155138888888908</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K5169">
        <v>9.2222111553784849</v>
      </c>
      <c r="L5169">
        <v>94.343599999999995</v>
      </c>
      <c r="M5169">
        <v>3.2</v>
      </c>
    </row>
    <row r="5170" spans="1:13" x14ac:dyDescent="0.3">
      <c r="A5170" t="s">
        <v>17</v>
      </c>
      <c r="B5170">
        <v>5169</v>
      </c>
      <c r="C5170" t="s">
        <v>668</v>
      </c>
      <c r="D5170" t="s">
        <v>12</v>
      </c>
      <c r="E5170">
        <v>2018</v>
      </c>
      <c r="F5170" t="s">
        <v>45</v>
      </c>
      <c r="G5170" t="s">
        <v>21</v>
      </c>
      <c r="H5170" t="s">
        <v>15</v>
      </c>
      <c r="I5170" t="s">
        <v>46</v>
      </c>
      <c r="J5170">
        <v>0</v>
      </c>
      <c r="K5170">
        <v>10.938344155844197</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K5171">
        <v>10.155138888888908</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K5172">
        <v>11.142456011730232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K5173">
        <v>10.16340000000001</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K5174">
        <v>10.693354166666698</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K5176">
        <v>11.142456011730232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K5190">
        <v>11.163752747252786</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K5191">
        <v>10.693354166666698</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K5218">
        <v>11.142456011730232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K5219">
        <v>10.693354166666698</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K5220">
        <v>10.219992295839765</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K5221">
        <v>10.938344155844197</v>
      </c>
      <c r="L5221">
        <v>141.9838</v>
      </c>
      <c r="M5221">
        <v>3.1</v>
      </c>
    </row>
    <row r="5222" spans="1:13" x14ac:dyDescent="0.3">
      <c r="A5222" t="s">
        <v>10</v>
      </c>
      <c r="B5222">
        <v>5221</v>
      </c>
      <c r="C5222" t="s">
        <v>457</v>
      </c>
      <c r="D5222" t="s">
        <v>54</v>
      </c>
      <c r="E5222">
        <v>2018</v>
      </c>
      <c r="F5222" t="s">
        <v>45</v>
      </c>
      <c r="G5222" t="s">
        <v>21</v>
      </c>
      <c r="H5222" t="s">
        <v>15</v>
      </c>
      <c r="I5222" t="s">
        <v>46</v>
      </c>
      <c r="J5222">
        <v>3.3276066E-2</v>
      </c>
      <c r="K5222">
        <v>10.16340000000001</v>
      </c>
      <c r="L5222">
        <v>153.8314</v>
      </c>
      <c r="M5222">
        <v>3.1</v>
      </c>
    </row>
    <row r="5223" spans="1:13" x14ac:dyDescent="0.3">
      <c r="A5223" t="s">
        <v>10</v>
      </c>
      <c r="B5223">
        <v>5222</v>
      </c>
      <c r="C5223" t="s">
        <v>1565</v>
      </c>
      <c r="D5223" t="s">
        <v>48</v>
      </c>
      <c r="E5223">
        <v>2018</v>
      </c>
      <c r="F5223" t="s">
        <v>45</v>
      </c>
      <c r="G5223" t="s">
        <v>21</v>
      </c>
      <c r="H5223" t="s">
        <v>15</v>
      </c>
      <c r="I5223" t="s">
        <v>46</v>
      </c>
      <c r="J5223">
        <v>3.0143704E-2</v>
      </c>
      <c r="K5223">
        <v>10.693354166666698</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K5224">
        <v>11.142456011730232</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K5228">
        <v>11.142456011730232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K5232">
        <v>11.142456011730232</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K5234">
        <v>10.693354166666698</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K5241">
        <v>10.693354166666698</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K5243">
        <v>10.693354166666698</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K5266">
        <v>10.155138888888908</v>
      </c>
      <c r="L5266">
        <v>125.4362</v>
      </c>
      <c r="M5266">
        <v>3</v>
      </c>
    </row>
    <row r="5267" spans="1:13" x14ac:dyDescent="0.3">
      <c r="A5267" t="s">
        <v>17</v>
      </c>
      <c r="B5267">
        <v>5266</v>
      </c>
      <c r="C5267" t="s">
        <v>987</v>
      </c>
      <c r="D5267" t="s">
        <v>74</v>
      </c>
      <c r="E5267">
        <v>2018</v>
      </c>
      <c r="F5267" t="s">
        <v>138</v>
      </c>
      <c r="G5267" t="s">
        <v>14</v>
      </c>
      <c r="H5267" t="s">
        <v>26</v>
      </c>
      <c r="I5267" t="s">
        <v>40</v>
      </c>
      <c r="J5267">
        <v>0.266234421</v>
      </c>
      <c r="K5267">
        <v>10.33063636363636</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K5268">
        <v>10.219992295839765</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K5269">
        <v>10.219992295839765</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K5270">
        <v>11.142456011730232</v>
      </c>
      <c r="L5270">
        <v>241.3854</v>
      </c>
      <c r="M5270">
        <v>3</v>
      </c>
    </row>
    <row r="5271" spans="1:13" x14ac:dyDescent="0.3">
      <c r="A5271" t="s">
        <v>17</v>
      </c>
      <c r="B5271">
        <v>5270</v>
      </c>
      <c r="C5271" t="s">
        <v>909</v>
      </c>
      <c r="D5271" t="s">
        <v>12</v>
      </c>
      <c r="E5271">
        <v>2018</v>
      </c>
      <c r="F5271" t="s">
        <v>138</v>
      </c>
      <c r="G5271" t="s">
        <v>14</v>
      </c>
      <c r="H5271" t="s">
        <v>26</v>
      </c>
      <c r="I5271" t="s">
        <v>40</v>
      </c>
      <c r="J5271">
        <v>7.0660449E-2</v>
      </c>
      <c r="K5271">
        <v>10.938344155844197</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K5272">
        <v>10.792698598130867</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K5273">
        <v>10.792698598130867</v>
      </c>
      <c r="L5273">
        <v>193.14779999999999</v>
      </c>
      <c r="M5273">
        <v>3</v>
      </c>
    </row>
    <row r="5274" spans="1:13" x14ac:dyDescent="0.3">
      <c r="A5274" t="s">
        <v>17</v>
      </c>
      <c r="B5274">
        <v>5273</v>
      </c>
      <c r="C5274" t="s">
        <v>854</v>
      </c>
      <c r="D5274" t="s">
        <v>67</v>
      </c>
      <c r="E5274">
        <v>2018</v>
      </c>
      <c r="F5274" t="s">
        <v>138</v>
      </c>
      <c r="G5274" t="s">
        <v>14</v>
      </c>
      <c r="H5274" t="s">
        <v>26</v>
      </c>
      <c r="I5274" t="s">
        <v>40</v>
      </c>
      <c r="J5274">
        <v>0</v>
      </c>
      <c r="K5274">
        <v>11.142456011730232</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17</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K5394">
        <v>9.7488785046728896</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K5395">
        <v>10.155138888888908</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K5396">
        <v>9.2222111553784849</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K5397">
        <v>10.219992295839765</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K5398">
        <v>11.142456011730232</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K5399">
        <v>10.938344155844197</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K5400">
        <v>10.938344155844197</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K5401">
        <v>9.7488785046728896</v>
      </c>
      <c r="L5401">
        <v>46.206000000000003</v>
      </c>
      <c r="M5401">
        <v>3</v>
      </c>
    </row>
    <row r="5402" spans="1:13" x14ac:dyDescent="0.3">
      <c r="A5402" t="s">
        <v>17</v>
      </c>
      <c r="B5402">
        <v>5401</v>
      </c>
      <c r="C5402" t="s">
        <v>41</v>
      </c>
      <c r="D5402" t="s">
        <v>42</v>
      </c>
      <c r="E5402">
        <v>2018</v>
      </c>
      <c r="F5402" t="s">
        <v>45</v>
      </c>
      <c r="G5402" t="s">
        <v>21</v>
      </c>
      <c r="H5402" t="s">
        <v>15</v>
      </c>
      <c r="I5402" t="s">
        <v>46</v>
      </c>
      <c r="J5402">
        <v>0</v>
      </c>
      <c r="K5402">
        <v>11.163752747252786</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K5403">
        <v>11.163752747252786</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K5404">
        <v>11.163752747252786</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K5405">
        <v>10.16340000000001</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K5406">
        <v>10.693354166666698</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K5407">
        <v>10.693354166666698</v>
      </c>
      <c r="L5407">
        <v>164.8526</v>
      </c>
      <c r="M5407">
        <v>3</v>
      </c>
    </row>
    <row r="5408" spans="1:13" x14ac:dyDescent="0.3">
      <c r="A5408" t="s">
        <v>17</v>
      </c>
      <c r="B5408">
        <v>5407</v>
      </c>
      <c r="C5408" t="s">
        <v>1566</v>
      </c>
      <c r="D5408" t="s">
        <v>48</v>
      </c>
      <c r="E5408">
        <v>2018</v>
      </c>
      <c r="F5408" t="s">
        <v>45</v>
      </c>
      <c r="G5408" t="s">
        <v>21</v>
      </c>
      <c r="H5408" t="s">
        <v>15</v>
      </c>
      <c r="I5408" t="s">
        <v>46</v>
      </c>
      <c r="J5408">
        <v>0.104348025</v>
      </c>
      <c r="K5408">
        <v>10.693354166666698</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K5409">
        <v>9.9571910112359632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K5410">
        <v>9.2222111553784849</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K5411">
        <v>11.142456011730232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K5412">
        <v>10.938344155844197</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K5413">
        <v>10.938344155844197</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K5414">
        <v>10.693354166666698</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K5415">
        <v>10.693354166666698</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K5416">
        <v>9.7488785046728896</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K5421">
        <v>10.219992295839765</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K5422">
        <v>9.9571910112359632</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K5439">
        <v>10.219992295839765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K5440">
        <v>10.693354166666698</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K5445">
        <v>10.219992295839765</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K5449">
        <v>10.938344155844197</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K5454">
        <v>11.163752747252786</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K5482">
        <v>10.938344155844197</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K5483">
        <v>9.7488785046728896</v>
      </c>
      <c r="L5483">
        <v>251.904</v>
      </c>
      <c r="M5483">
        <v>2.8</v>
      </c>
    </row>
    <row r="5484" spans="1:13" x14ac:dyDescent="0.3">
      <c r="A5484" t="s">
        <v>17</v>
      </c>
      <c r="B5484">
        <v>5483</v>
      </c>
      <c r="C5484" t="s">
        <v>1085</v>
      </c>
      <c r="D5484" t="s">
        <v>19</v>
      </c>
      <c r="E5484">
        <v>2018</v>
      </c>
      <c r="F5484" t="s">
        <v>45</v>
      </c>
      <c r="G5484" t="s">
        <v>21</v>
      </c>
      <c r="H5484" t="s">
        <v>15</v>
      </c>
      <c r="I5484" t="s">
        <v>46</v>
      </c>
      <c r="J5484">
        <v>0.174336148</v>
      </c>
      <c r="K5484">
        <v>10.867682692307703</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K5485">
        <v>11.163752747252786</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K5486">
        <v>9.2222111553784849</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K5487">
        <v>10.219992295839765</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K5488">
        <v>10.938344155844197</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K5489">
        <v>10.693354166666698</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K5492">
        <v>10.792698598130867</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K5510">
        <v>10.792698598130867</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K5538">
        <v>10.693354166666698</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K5539">
        <v>10.16340000000001</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K5570">
        <v>10.219992295839765</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K5571">
        <v>10.792698598130867</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K5572">
        <v>10.693354166666698</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K5574">
        <v>11.142456011730232</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K5575">
        <v>11.142456011730232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K5583">
        <v>11.163752747252786</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K5586">
        <v>10.938344155844197</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K5587">
        <v>10.16340000000001</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K5591">
        <v>10.792698598130867</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K5605">
        <v>9.7488785046728896</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K5606">
        <v>10.867682692307703</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K5607">
        <v>10.867682692307703</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K5608">
        <v>10.938344155844197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K5609">
        <v>10.693354166666698</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K5618">
        <v>10.938344155844197</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K5622">
        <v>10.792698598130867</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K5633">
        <v>10.33063636363636</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K5639">
        <v>10.219992295839765</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K5640">
        <v>10.155138888888908</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K5641">
        <v>10.16340000000001</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K5642">
        <v>10.693354166666698</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K5692">
        <v>10.792698598130867</v>
      </c>
      <c r="L5692">
        <v>122.4098</v>
      </c>
      <c r="M5692">
        <v>2</v>
      </c>
    </row>
    <row r="5693" spans="1:13" x14ac:dyDescent="0.3">
      <c r="A5693" t="s">
        <v>17</v>
      </c>
      <c r="B5693">
        <v>5692</v>
      </c>
      <c r="C5693" t="s">
        <v>1037</v>
      </c>
      <c r="D5693" t="s">
        <v>24</v>
      </c>
      <c r="E5693">
        <v>2018</v>
      </c>
      <c r="F5693" t="s">
        <v>45</v>
      </c>
      <c r="G5693" t="s">
        <v>21</v>
      </c>
      <c r="H5693" t="s">
        <v>15</v>
      </c>
      <c r="I5693" t="s">
        <v>46</v>
      </c>
      <c r="J5693">
        <v>2.2457694E-2</v>
      </c>
      <c r="K5693">
        <v>10.792698598130867</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K5694">
        <v>10.938344155844197</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K5695">
        <v>10.16340000000001</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K5696">
        <v>10.693354166666698</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K5704">
        <v>10.219992295839765</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K5712">
        <v>10.219992295839765</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K5721">
        <v>11.163752747252786</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K5722">
        <v>10.792698598130867</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K5723">
        <v>9.7488785046728896</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K5727">
        <v>10.693354166666698</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K5736">
        <v>9.2222111553784849</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K5749">
        <v>10.938344155844197</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K5750">
        <v>10.155138888888908</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K5751">
        <v>10.33063636363636</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17</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17</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K5829">
        <v>10.867682692307703</v>
      </c>
      <c r="L5829">
        <v>109.3228</v>
      </c>
      <c r="M5829">
        <v>1</v>
      </c>
    </row>
    <row r="5830" spans="1:13" x14ac:dyDescent="0.3">
      <c r="A5830" t="s">
        <v>17</v>
      </c>
      <c r="B5830">
        <v>5829</v>
      </c>
      <c r="C5830" t="s">
        <v>1502</v>
      </c>
      <c r="D5830" t="s">
        <v>95</v>
      </c>
      <c r="E5830">
        <v>2018</v>
      </c>
      <c r="F5830" t="s">
        <v>45</v>
      </c>
      <c r="G5830" t="s">
        <v>21</v>
      </c>
      <c r="H5830" t="s">
        <v>15</v>
      </c>
      <c r="I5830" t="s">
        <v>46</v>
      </c>
      <c r="J5830">
        <v>0</v>
      </c>
      <c r="K5830">
        <v>10.155138888888908</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K5831">
        <v>10.938344155844197</v>
      </c>
      <c r="L5831">
        <v>120.7414</v>
      </c>
      <c r="M5831">
        <v>1</v>
      </c>
    </row>
    <row r="5832" spans="1:13" x14ac:dyDescent="0.3">
      <c r="A5832" t="s">
        <v>17</v>
      </c>
      <c r="B5832">
        <v>5831</v>
      </c>
      <c r="C5832" t="s">
        <v>235</v>
      </c>
      <c r="D5832" t="s">
        <v>61</v>
      </c>
      <c r="E5832">
        <v>2018</v>
      </c>
      <c r="F5832" t="s">
        <v>45</v>
      </c>
      <c r="G5832" t="s">
        <v>21</v>
      </c>
      <c r="H5832" t="s">
        <v>15</v>
      </c>
      <c r="I5832" t="s">
        <v>46</v>
      </c>
      <c r="J5832">
        <v>0</v>
      </c>
      <c r="K5832">
        <v>9.7488785046728896</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K5833">
        <v>10.867682692307703</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K5834">
        <v>11.163752747252786</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K5835">
        <v>10.693354166666698</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K5836">
        <v>10.693354166666698</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K5837">
        <v>9.2222111553784849</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K5838">
        <v>10.792698598130867</v>
      </c>
      <c r="L5838">
        <v>46.2376</v>
      </c>
      <c r="M5838">
        <v>1</v>
      </c>
    </row>
    <row r="5839" spans="1:13" x14ac:dyDescent="0.3">
      <c r="A5839" t="s">
        <v>10</v>
      </c>
      <c r="B5839">
        <v>5838</v>
      </c>
      <c r="C5839" t="s">
        <v>1158</v>
      </c>
      <c r="D5839" t="s">
        <v>12</v>
      </c>
      <c r="E5839">
        <v>2018</v>
      </c>
      <c r="F5839" t="s">
        <v>45</v>
      </c>
      <c r="G5839" t="s">
        <v>21</v>
      </c>
      <c r="H5839" t="s">
        <v>15</v>
      </c>
      <c r="I5839" t="s">
        <v>46</v>
      </c>
      <c r="J5839">
        <v>0</v>
      </c>
      <c r="K5839">
        <v>10.938344155844197</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K5840">
        <v>10.693354166666698</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K5842">
        <v>10.219992295839765</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K5849">
        <v>11.163752747252786</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K5850">
        <v>10.155138888888908</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K5857">
        <v>10.693354166666698</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K5859">
        <v>10.693354166666698</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K5868">
        <v>10.867682692307703</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K5869">
        <v>12.025641891891883</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K5874">
        <v>9.9571910112359632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K5881">
        <v>9.9571910112359632</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K5882">
        <v>10.792698598130867</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K5884">
        <v>10.155138888888908</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K5888">
        <v>11.163752747252786</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K5898">
        <v>11.230177514792899</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K5900">
        <v>11.163752747252786</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K5902">
        <v>10.867682692307703</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K5907">
        <v>11.142456011730232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K5919">
        <v>11.163752747252786</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K5920">
        <v>10.938344155844197</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K5922">
        <v>10.33063636363636</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K5927">
        <v>10.219992295839765</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K5936">
        <v>10.867682692307703</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K5938">
        <v>10.155138888888908</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K5939">
        <v>10.693354166666698</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K5947">
        <v>11.142456011730232</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K5953">
        <v>10.938344155844197</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K5954">
        <v>10.938344155844197</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K5957">
        <v>10.693354166666698</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K5961">
        <v>11.142456011730232</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K5963">
        <v>9.7488785046728896</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1374</v>
      </c>
      <c r="D5965" t="s">
        <v>57</v>
      </c>
      <c r="E5965">
        <v>2018</v>
      </c>
      <c r="F5965" t="s">
        <v>138</v>
      </c>
      <c r="G5965" t="s">
        <v>14</v>
      </c>
      <c r="H5965" t="s">
        <v>26</v>
      </c>
      <c r="I5965" t="s">
        <v>40</v>
      </c>
      <c r="J5965">
        <v>1.94158E-2</v>
      </c>
      <c r="K5965">
        <v>9.2222111553784849</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K5970">
        <v>10.16340000000001</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K5972">
        <v>10.693354166666698</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K5977">
        <v>9.9571910112359632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K5982">
        <v>10.938344155844197</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K5984">
        <v>10.792698598130867</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K5986">
        <v>10.938344155844197</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K5989">
        <v>9.9571910112359632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K5998">
        <v>11.142456011730232</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K6001">
        <v>11.230177514792899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K6009">
        <v>9.7488785046728896</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K6014">
        <v>10.938344155844197</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K6020">
        <v>12.025641891891883</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K6030">
        <v>10.693354166666698</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K6031">
        <v>9.9571910112359632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K6033">
        <v>10.792698598130867</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K6047">
        <v>10.16340000000001</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K6055">
        <v>10.938344155844197</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K6056">
        <v>11.163752747252786</v>
      </c>
      <c r="L6056">
        <v>116.8124</v>
      </c>
      <c r="M6056">
        <v>4</v>
      </c>
    </row>
    <row r="6057" spans="1:13" x14ac:dyDescent="0.3">
      <c r="A6057" t="s">
        <v>17</v>
      </c>
      <c r="B6057">
        <v>6056</v>
      </c>
      <c r="C6057" t="s">
        <v>334</v>
      </c>
      <c r="D6057" t="s">
        <v>32</v>
      </c>
      <c r="E6057">
        <v>2018</v>
      </c>
      <c r="F6057" t="s">
        <v>45</v>
      </c>
      <c r="G6057" t="s">
        <v>21</v>
      </c>
      <c r="H6057" t="s">
        <v>15</v>
      </c>
      <c r="I6057" t="s">
        <v>46</v>
      </c>
      <c r="J6057">
        <v>1.4522363E-2</v>
      </c>
      <c r="K6057">
        <v>9.9571910112359632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K6062">
        <v>11.142456011730232</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K6066">
        <v>11.142456011730232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K6068">
        <v>10.219992295839765</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K6071">
        <v>10.219992295839765</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K6085">
        <v>10.219992295839765</v>
      </c>
      <c r="L6085">
        <v>153.4682</v>
      </c>
      <c r="M6085">
        <v>4</v>
      </c>
    </row>
    <row r="6086" spans="1:13" x14ac:dyDescent="0.3">
      <c r="A6086" t="s">
        <v>17</v>
      </c>
      <c r="B6086">
        <v>6085</v>
      </c>
      <c r="C6086" t="s">
        <v>94</v>
      </c>
      <c r="D6086" t="s">
        <v>95</v>
      </c>
      <c r="E6086">
        <v>2018</v>
      </c>
      <c r="F6086" t="s">
        <v>45</v>
      </c>
      <c r="G6086" t="s">
        <v>21</v>
      </c>
      <c r="H6086" t="s">
        <v>15</v>
      </c>
      <c r="I6086" t="s">
        <v>46</v>
      </c>
      <c r="J6086">
        <v>1.4560297E-2</v>
      </c>
      <c r="K6086">
        <v>10.155138888888908</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K6087">
        <v>10.792698598130867</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K6094">
        <v>10.867682692307703</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K6095">
        <v>10.219992295839765</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K6099">
        <v>10.155138888888908</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K6102">
        <v>10.792698598130867</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K6105">
        <v>11.230177514792899</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K6107">
        <v>10.16340000000001</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K6109">
        <v>10.938344155844197</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K6111">
        <v>10.792698598130867</v>
      </c>
      <c r="L6111">
        <v>108.69119999999999</v>
      </c>
      <c r="M6111">
        <v>4</v>
      </c>
    </row>
    <row r="6112" spans="1:13" x14ac:dyDescent="0.3">
      <c r="A6112" t="s">
        <v>17</v>
      </c>
      <c r="B6112">
        <v>6111</v>
      </c>
      <c r="C6112" t="s">
        <v>1275</v>
      </c>
      <c r="D6112" t="s">
        <v>28</v>
      </c>
      <c r="E6112">
        <v>2018</v>
      </c>
      <c r="F6112" t="s">
        <v>138</v>
      </c>
      <c r="G6112" t="s">
        <v>14</v>
      </c>
      <c r="H6112" t="s">
        <v>26</v>
      </c>
      <c r="I6112" t="s">
        <v>40</v>
      </c>
      <c r="J6112">
        <v>0.32839094800000002</v>
      </c>
      <c r="K6112">
        <v>10.219992295839765</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K6114">
        <v>9.7488785046728896</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K6124">
        <v>10.867682692307703</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K6127">
        <v>10.155138888888908</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K6134">
        <v>10.219992295839765</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K6138">
        <v>11.230177514792899</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K6139">
        <v>10.693354166666698</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K6149">
        <v>10.693354166666698</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K6152">
        <v>10.938344155844197</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K6425">
        <v>10.938344155844197</v>
      </c>
      <c r="L6425">
        <v>105.099</v>
      </c>
      <c r="M6425">
        <v>4</v>
      </c>
    </row>
    <row r="6426" spans="1:13" x14ac:dyDescent="0.3">
      <c r="A6426" t="s">
        <v>17</v>
      </c>
      <c r="B6426">
        <v>6425</v>
      </c>
      <c r="C6426" t="s">
        <v>668</v>
      </c>
      <c r="D6426" t="s">
        <v>12</v>
      </c>
      <c r="E6426">
        <v>2018</v>
      </c>
      <c r="F6426" t="s">
        <v>138</v>
      </c>
      <c r="G6426" t="s">
        <v>14</v>
      </c>
      <c r="H6426" t="s">
        <v>26</v>
      </c>
      <c r="I6426" t="s">
        <v>40</v>
      </c>
      <c r="J6426">
        <v>0</v>
      </c>
      <c r="K6426">
        <v>10.938344155844197</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K6427">
        <v>11.163752747252786</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K6428">
        <v>11.163752747252786</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K6429">
        <v>10.693354166666698</v>
      </c>
      <c r="L6429">
        <v>105.5622</v>
      </c>
      <c r="M6429">
        <v>4</v>
      </c>
    </row>
    <row r="6430" spans="1:13" x14ac:dyDescent="0.3">
      <c r="A6430" t="s">
        <v>17</v>
      </c>
      <c r="B6430">
        <v>6429</v>
      </c>
      <c r="C6430" t="s">
        <v>1242</v>
      </c>
      <c r="D6430" t="s">
        <v>32</v>
      </c>
      <c r="E6430">
        <v>2018</v>
      </c>
      <c r="F6430" t="s">
        <v>138</v>
      </c>
      <c r="G6430" t="s">
        <v>14</v>
      </c>
      <c r="H6430" t="s">
        <v>26</v>
      </c>
      <c r="I6430" t="s">
        <v>40</v>
      </c>
      <c r="J6430">
        <v>0</v>
      </c>
      <c r="K6430">
        <v>9.9571910112359632</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K6431">
        <v>10.155138888888908</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K6432">
        <v>10.155138888888908</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K6433">
        <v>10.155138888888908</v>
      </c>
      <c r="L6433">
        <v>107.128</v>
      </c>
      <c r="M6433">
        <v>4</v>
      </c>
    </row>
    <row r="6434" spans="1:13" x14ac:dyDescent="0.3">
      <c r="A6434" t="s">
        <v>17</v>
      </c>
      <c r="B6434">
        <v>6433</v>
      </c>
      <c r="C6434" t="s">
        <v>478</v>
      </c>
      <c r="D6434" t="s">
        <v>95</v>
      </c>
      <c r="E6434">
        <v>2018</v>
      </c>
      <c r="F6434" t="s">
        <v>138</v>
      </c>
      <c r="G6434" t="s">
        <v>14</v>
      </c>
      <c r="H6434" t="s">
        <v>26</v>
      </c>
      <c r="I6434" t="s">
        <v>40</v>
      </c>
      <c r="J6434">
        <v>0.105893301</v>
      </c>
      <c r="K6434">
        <v>10.155138888888908</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K6435">
        <v>10.155138888888908</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K6436">
        <v>10.155138888888908</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K6437">
        <v>10.155138888888908</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K6438">
        <v>9.2222111553784849</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K6439">
        <v>9.2222111553784849</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K6440">
        <v>9.2222111553784849</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K6441">
        <v>9.2222111553784849</v>
      </c>
      <c r="L6441">
        <v>121.7414</v>
      </c>
      <c r="M6441">
        <v>4</v>
      </c>
    </row>
    <row r="6442" spans="1:13" x14ac:dyDescent="0.3">
      <c r="A6442" t="s">
        <v>17</v>
      </c>
      <c r="B6442">
        <v>6441</v>
      </c>
      <c r="C6442" t="s">
        <v>343</v>
      </c>
      <c r="D6442" t="s">
        <v>57</v>
      </c>
      <c r="E6442">
        <v>2018</v>
      </c>
      <c r="F6442" t="s">
        <v>138</v>
      </c>
      <c r="G6442" t="s">
        <v>14</v>
      </c>
      <c r="H6442" t="s">
        <v>26</v>
      </c>
      <c r="I6442" t="s">
        <v>40</v>
      </c>
      <c r="J6442">
        <v>3.627089E-2</v>
      </c>
      <c r="K6442">
        <v>9.2222111553784849</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K6443">
        <v>10.33063636363636</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K6444">
        <v>10.33063636363636</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K6445">
        <v>10.219992295839765</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K6446">
        <v>10.219992295839765</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K6447">
        <v>11.142456011730232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K6448">
        <v>11.142456011730232</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K6449">
        <v>11.142456011730232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K6450">
        <v>11.142456011730232</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K6451">
        <v>11.142456011730232</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K6452">
        <v>11.142456011730232</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K6453">
        <v>11.142456011730232</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K6454">
        <v>11.142456011730232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K6455">
        <v>10.792698598130867</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K6456">
        <v>10.792698598130867</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K6457">
        <v>10.792698598130867</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K6458">
        <v>10.792698598130867</v>
      </c>
      <c r="L6458">
        <v>206.7954</v>
      </c>
      <c r="M6458">
        <v>4</v>
      </c>
    </row>
    <row r="6459" spans="1:13" x14ac:dyDescent="0.3">
      <c r="A6459" t="s">
        <v>17</v>
      </c>
      <c r="B6459">
        <v>6458</v>
      </c>
      <c r="C6459" t="s">
        <v>1556</v>
      </c>
      <c r="D6459" t="s">
        <v>24</v>
      </c>
      <c r="E6459">
        <v>2018</v>
      </c>
      <c r="F6459" t="s">
        <v>138</v>
      </c>
      <c r="G6459" t="s">
        <v>14</v>
      </c>
      <c r="H6459" t="s">
        <v>26</v>
      </c>
      <c r="I6459" t="s">
        <v>40</v>
      </c>
      <c r="J6459">
        <v>1.0615026E-2</v>
      </c>
      <c r="K6459">
        <v>10.792698598130867</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K6460">
        <v>10.792698598130867</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K6461">
        <v>10.792698598130867</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K6462">
        <v>10.792698598130867</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K6463">
        <v>10.938344155844197</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K6464">
        <v>10.938344155844197</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K6465">
        <v>10.938344155844197</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K6466">
        <v>10.938344155844197</v>
      </c>
      <c r="L6466">
        <v>149.8734</v>
      </c>
      <c r="M6466">
        <v>4</v>
      </c>
    </row>
    <row r="6467" spans="1:13" x14ac:dyDescent="0.3">
      <c r="A6467" t="s">
        <v>17</v>
      </c>
      <c r="B6467">
        <v>6466</v>
      </c>
      <c r="C6467" t="s">
        <v>1576</v>
      </c>
      <c r="D6467" t="s">
        <v>12</v>
      </c>
      <c r="E6467">
        <v>2018</v>
      </c>
      <c r="F6467" t="s">
        <v>138</v>
      </c>
      <c r="G6467" t="s">
        <v>14</v>
      </c>
      <c r="H6467" t="s">
        <v>26</v>
      </c>
      <c r="I6467" t="s">
        <v>40</v>
      </c>
      <c r="J6467">
        <v>0.178923163</v>
      </c>
      <c r="K6467">
        <v>10.938344155844197</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K6468">
        <v>10.938344155844197</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K6469">
        <v>10.938344155844197</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K6470">
        <v>10.938344155844197</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K6471">
        <v>10.938344155844197</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K6472">
        <v>9.7488785046728896</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K6473">
        <v>9.7488785046728896</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K6474">
        <v>10.867682692307703</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K6475">
        <v>10.867682692307703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K6476">
        <v>10.867682692307703</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K6477">
        <v>11.163752747252786</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K6478">
        <v>11.163752747252786</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K6479">
        <v>11.163752747252786</v>
      </c>
      <c r="L6479">
        <v>177.0712</v>
      </c>
      <c r="M6479">
        <v>4</v>
      </c>
    </row>
    <row r="6480" spans="1:13" x14ac:dyDescent="0.3">
      <c r="A6480" t="s">
        <v>17</v>
      </c>
      <c r="B6480">
        <v>6479</v>
      </c>
      <c r="C6480" t="s">
        <v>215</v>
      </c>
      <c r="D6480" t="s">
        <v>42</v>
      </c>
      <c r="E6480">
        <v>2018</v>
      </c>
      <c r="F6480" t="s">
        <v>138</v>
      </c>
      <c r="G6480" t="s">
        <v>14</v>
      </c>
      <c r="H6480" t="s">
        <v>26</v>
      </c>
      <c r="I6480" t="s">
        <v>40</v>
      </c>
      <c r="J6480">
        <v>0.123557061</v>
      </c>
      <c r="K6480">
        <v>11.163752747252786</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K6481">
        <v>11.163752747252786</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K6482">
        <v>11.163752747252786</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K6483">
        <v>11.163752747252786</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K6484">
        <v>11.163752747252786</v>
      </c>
      <c r="L6484">
        <v>102.7332</v>
      </c>
      <c r="M6484">
        <v>4</v>
      </c>
    </row>
    <row r="6485" spans="1:13" x14ac:dyDescent="0.3">
      <c r="A6485" t="s">
        <v>17</v>
      </c>
      <c r="B6485">
        <v>6484</v>
      </c>
      <c r="C6485" t="s">
        <v>115</v>
      </c>
      <c r="D6485" t="s">
        <v>42</v>
      </c>
      <c r="E6485">
        <v>2018</v>
      </c>
      <c r="F6485" t="s">
        <v>138</v>
      </c>
      <c r="G6485" t="s">
        <v>14</v>
      </c>
      <c r="H6485" t="s">
        <v>26</v>
      </c>
      <c r="I6485" t="s">
        <v>40</v>
      </c>
      <c r="J6485">
        <v>0.117825569</v>
      </c>
      <c r="K6485">
        <v>11.163752747252786</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K6486">
        <v>11.163752747252786</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K6487">
        <v>11.163752747252786</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K6488">
        <v>11.163752747252786</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K6489">
        <v>11.163752747252786</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K6490">
        <v>11.163752747252786</v>
      </c>
      <c r="L6490">
        <v>194.911</v>
      </c>
      <c r="M6490">
        <v>4</v>
      </c>
    </row>
    <row r="6491" spans="1:13" x14ac:dyDescent="0.3">
      <c r="A6491" t="s">
        <v>17</v>
      </c>
      <c r="B6491">
        <v>6490</v>
      </c>
      <c r="C6491" t="s">
        <v>240</v>
      </c>
      <c r="D6491" t="s">
        <v>42</v>
      </c>
      <c r="E6491">
        <v>2018</v>
      </c>
      <c r="F6491" t="s">
        <v>138</v>
      </c>
      <c r="G6491" t="s">
        <v>14</v>
      </c>
      <c r="H6491" t="s">
        <v>26</v>
      </c>
      <c r="I6491" t="s">
        <v>40</v>
      </c>
      <c r="J6491">
        <v>1.0467749E-2</v>
      </c>
      <c r="K6491">
        <v>11.163752747252786</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K6492">
        <v>11.163752747252786</v>
      </c>
      <c r="L6492">
        <v>252.7698</v>
      </c>
      <c r="M6492">
        <v>4</v>
      </c>
    </row>
    <row r="6493" spans="1:13" x14ac:dyDescent="0.3">
      <c r="A6493" t="s">
        <v>17</v>
      </c>
      <c r="B6493">
        <v>6492</v>
      </c>
      <c r="C6493" t="s">
        <v>53</v>
      </c>
      <c r="D6493" t="s">
        <v>54</v>
      </c>
      <c r="E6493">
        <v>2018</v>
      </c>
      <c r="F6493" t="s">
        <v>138</v>
      </c>
      <c r="G6493" t="s">
        <v>14</v>
      </c>
      <c r="H6493" t="s">
        <v>26</v>
      </c>
      <c r="I6493" t="s">
        <v>40</v>
      </c>
      <c r="J6493">
        <v>5.7933643E-2</v>
      </c>
      <c r="K6493">
        <v>10.16340000000001</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K6494">
        <v>10.16340000000001</v>
      </c>
      <c r="L6494">
        <v>190.953</v>
      </c>
      <c r="M6494">
        <v>4</v>
      </c>
    </row>
    <row r="6495" spans="1:13" x14ac:dyDescent="0.3">
      <c r="A6495" t="s">
        <v>17</v>
      </c>
      <c r="B6495">
        <v>6494</v>
      </c>
      <c r="C6495" t="s">
        <v>1369</v>
      </c>
      <c r="D6495" t="s">
        <v>54</v>
      </c>
      <c r="E6495">
        <v>2018</v>
      </c>
      <c r="F6495" t="s">
        <v>138</v>
      </c>
      <c r="G6495" t="s">
        <v>14</v>
      </c>
      <c r="H6495" t="s">
        <v>26</v>
      </c>
      <c r="I6495" t="s">
        <v>40</v>
      </c>
      <c r="J6495">
        <v>0</v>
      </c>
      <c r="K6495">
        <v>10.16340000000001</v>
      </c>
      <c r="L6495">
        <v>196.8426</v>
      </c>
      <c r="M6495">
        <v>4</v>
      </c>
    </row>
    <row r="6496" spans="1:13" x14ac:dyDescent="0.3">
      <c r="A6496" t="s">
        <v>17</v>
      </c>
      <c r="B6496">
        <v>6495</v>
      </c>
      <c r="C6496" t="s">
        <v>788</v>
      </c>
      <c r="D6496" t="s">
        <v>64</v>
      </c>
      <c r="E6496">
        <v>2018</v>
      </c>
      <c r="F6496" t="s">
        <v>138</v>
      </c>
      <c r="G6496" t="s">
        <v>14</v>
      </c>
      <c r="H6496" t="s">
        <v>26</v>
      </c>
      <c r="I6496" t="s">
        <v>40</v>
      </c>
      <c r="J6496">
        <v>0.210596485</v>
      </c>
      <c r="K6496">
        <v>11.230177514792899</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K6497">
        <v>11.230177514792899</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K6498">
        <v>10.003046875000003</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K6499">
        <v>10.693354166666698</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K6500">
        <v>10.693354166666698</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K6501">
        <v>10.693354166666698</v>
      </c>
      <c r="L6501">
        <v>159.8236</v>
      </c>
      <c r="M6501">
        <v>4</v>
      </c>
    </row>
    <row r="6502" spans="1:13" x14ac:dyDescent="0.3">
      <c r="A6502" t="s">
        <v>17</v>
      </c>
      <c r="B6502">
        <v>6501</v>
      </c>
      <c r="C6502" t="s">
        <v>1354</v>
      </c>
      <c r="D6502" t="s">
        <v>48</v>
      </c>
      <c r="E6502">
        <v>2018</v>
      </c>
      <c r="F6502" t="s">
        <v>138</v>
      </c>
      <c r="G6502" t="s">
        <v>14</v>
      </c>
      <c r="H6502" t="s">
        <v>26</v>
      </c>
      <c r="I6502" t="s">
        <v>40</v>
      </c>
      <c r="J6502">
        <v>9.4957079E-2</v>
      </c>
      <c r="K6502">
        <v>10.693354166666698</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K6503">
        <v>10.693354166666698</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K6504">
        <v>10.693354166666698</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K6505">
        <v>10.693354166666698</v>
      </c>
      <c r="L6505">
        <v>242.417</v>
      </c>
      <c r="M6505">
        <v>4</v>
      </c>
    </row>
    <row r="6506" spans="1:13" x14ac:dyDescent="0.3">
      <c r="A6506" t="s">
        <v>17</v>
      </c>
      <c r="B6506">
        <v>6505</v>
      </c>
      <c r="C6506" t="s">
        <v>1566</v>
      </c>
      <c r="D6506" t="s">
        <v>48</v>
      </c>
      <c r="E6506">
        <v>2018</v>
      </c>
      <c r="F6506" t="s">
        <v>138</v>
      </c>
      <c r="G6506" t="s">
        <v>14</v>
      </c>
      <c r="H6506" t="s">
        <v>26</v>
      </c>
      <c r="I6506" t="s">
        <v>40</v>
      </c>
      <c r="J6506">
        <v>0.18358896</v>
      </c>
      <c r="K6506">
        <v>10.693354166666698</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K6507">
        <v>10.693354166666698</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K6508">
        <v>9.9571910112359632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K6509">
        <v>9.9571910112359632</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K6510">
        <v>9.9571910112359632</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K6511">
        <v>9.9571910112359632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K6512">
        <v>9.9571910112359632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K6513">
        <v>9.9571910112359632</v>
      </c>
      <c r="L6513">
        <v>189.453</v>
      </c>
      <c r="M6513">
        <v>4</v>
      </c>
    </row>
    <row r="6514" spans="1:13" x14ac:dyDescent="0.3">
      <c r="A6514" t="s">
        <v>10</v>
      </c>
      <c r="B6514">
        <v>6513</v>
      </c>
      <c r="C6514" t="s">
        <v>335</v>
      </c>
      <c r="D6514" t="s">
        <v>95</v>
      </c>
      <c r="E6514">
        <v>2018</v>
      </c>
      <c r="F6514" t="s">
        <v>138</v>
      </c>
      <c r="G6514" t="s">
        <v>14</v>
      </c>
      <c r="H6514" t="s">
        <v>26</v>
      </c>
      <c r="I6514" t="s">
        <v>40</v>
      </c>
      <c r="J6514">
        <v>0.2004264</v>
      </c>
      <c r="K6514">
        <v>10.155138888888908</v>
      </c>
      <c r="L6514">
        <v>88.851399999999998</v>
      </c>
      <c r="M6514">
        <v>4</v>
      </c>
    </row>
    <row r="6515" spans="1:13" x14ac:dyDescent="0.3">
      <c r="A6515" t="s">
        <v>10</v>
      </c>
      <c r="B6515">
        <v>6514</v>
      </c>
      <c r="C6515" t="s">
        <v>431</v>
      </c>
      <c r="D6515" t="s">
        <v>95</v>
      </c>
      <c r="E6515">
        <v>2018</v>
      </c>
      <c r="F6515" t="s">
        <v>138</v>
      </c>
      <c r="G6515" t="s">
        <v>14</v>
      </c>
      <c r="H6515" t="s">
        <v>26</v>
      </c>
      <c r="I6515" t="s">
        <v>40</v>
      </c>
      <c r="J6515">
        <v>0</v>
      </c>
      <c r="K6515">
        <v>10.155138888888908</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K6516">
        <v>10.155138888888908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K6517">
        <v>10.155138888888908</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K6518">
        <v>10.155138888888908</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K6519">
        <v>9.2222111553784849</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K6520">
        <v>9.2222111553784849</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K6521">
        <v>9.2222111553784849</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K6522">
        <v>10.33063636363636</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K6523">
        <v>10.33063636363636</v>
      </c>
      <c r="L6523">
        <v>55.861400000000003</v>
      </c>
      <c r="M6523">
        <v>4</v>
      </c>
    </row>
    <row r="6524" spans="1:13" x14ac:dyDescent="0.3">
      <c r="A6524" t="s">
        <v>10</v>
      </c>
      <c r="B6524">
        <v>6523</v>
      </c>
      <c r="C6524" t="s">
        <v>423</v>
      </c>
      <c r="D6524" t="s">
        <v>28</v>
      </c>
      <c r="E6524">
        <v>2018</v>
      </c>
      <c r="F6524" t="s">
        <v>138</v>
      </c>
      <c r="G6524" t="s">
        <v>14</v>
      </c>
      <c r="H6524" t="s">
        <v>26</v>
      </c>
      <c r="I6524" t="s">
        <v>40</v>
      </c>
      <c r="J6524">
        <v>0</v>
      </c>
      <c r="K6524">
        <v>10.219992295839765</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K6525">
        <v>10.219992295839765</v>
      </c>
      <c r="L6525">
        <v>147.24180000000001</v>
      </c>
      <c r="M6525">
        <v>4</v>
      </c>
    </row>
    <row r="6526" spans="1:13" x14ac:dyDescent="0.3">
      <c r="A6526" t="s">
        <v>10</v>
      </c>
      <c r="B6526">
        <v>6525</v>
      </c>
      <c r="C6526" t="s">
        <v>677</v>
      </c>
      <c r="D6526" t="s">
        <v>28</v>
      </c>
      <c r="E6526">
        <v>2018</v>
      </c>
      <c r="F6526" t="s">
        <v>138</v>
      </c>
      <c r="G6526" t="s">
        <v>14</v>
      </c>
      <c r="H6526" t="s">
        <v>26</v>
      </c>
      <c r="I6526" t="s">
        <v>40</v>
      </c>
      <c r="J6526">
        <v>0</v>
      </c>
      <c r="K6526">
        <v>10.219992295839765</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K6527">
        <v>10.219992295839765</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K6528">
        <v>10.219992295839765</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K6529">
        <v>11.142456011730232</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K6530">
        <v>11.142456011730232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K6531">
        <v>11.142456011730232</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K6532">
        <v>11.142456011730232</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K6533">
        <v>10.792698598130867</v>
      </c>
      <c r="L6533">
        <v>91.0488</v>
      </c>
      <c r="M6533">
        <v>4</v>
      </c>
    </row>
    <row r="6534" spans="1:13" x14ac:dyDescent="0.3">
      <c r="A6534" t="s">
        <v>10</v>
      </c>
      <c r="B6534">
        <v>6533</v>
      </c>
      <c r="C6534" t="s">
        <v>1489</v>
      </c>
      <c r="D6534" t="s">
        <v>24</v>
      </c>
      <c r="E6534">
        <v>2018</v>
      </c>
      <c r="F6534" t="s">
        <v>138</v>
      </c>
      <c r="G6534" t="s">
        <v>14</v>
      </c>
      <c r="H6534" t="s">
        <v>26</v>
      </c>
      <c r="I6534" t="s">
        <v>40</v>
      </c>
      <c r="J6534">
        <v>0.127660257</v>
      </c>
      <c r="K6534">
        <v>10.792698598130867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K6535">
        <v>10.792698598130867</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K6536">
        <v>10.792698598130867</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K6537">
        <v>10.792698598130867</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K6538">
        <v>10.792698598130867</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K6539">
        <v>10.792698598130867</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K6540">
        <v>10.938344155844197</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K6541">
        <v>10.938344155844197</v>
      </c>
      <c r="L6541">
        <v>108.4254</v>
      </c>
      <c r="M6541">
        <v>4</v>
      </c>
    </row>
    <row r="6542" spans="1:13" x14ac:dyDescent="0.3">
      <c r="A6542" t="s">
        <v>10</v>
      </c>
      <c r="B6542">
        <v>6541</v>
      </c>
      <c r="C6542" t="s">
        <v>1520</v>
      </c>
      <c r="D6542" t="s">
        <v>12</v>
      </c>
      <c r="E6542">
        <v>2018</v>
      </c>
      <c r="F6542" t="s">
        <v>138</v>
      </c>
      <c r="G6542" t="s">
        <v>14</v>
      </c>
      <c r="H6542" t="s">
        <v>26</v>
      </c>
      <c r="I6542" t="s">
        <v>40</v>
      </c>
      <c r="J6542">
        <v>0.214423791</v>
      </c>
      <c r="K6542">
        <v>10.938344155844197</v>
      </c>
      <c r="L6542">
        <v>111.6544</v>
      </c>
      <c r="M6542">
        <v>4</v>
      </c>
    </row>
    <row r="6543" spans="1:13" x14ac:dyDescent="0.3">
      <c r="A6543" t="s">
        <v>10</v>
      </c>
      <c r="B6543">
        <v>6542</v>
      </c>
      <c r="C6543" t="s">
        <v>1536</v>
      </c>
      <c r="D6543" t="s">
        <v>12</v>
      </c>
      <c r="E6543">
        <v>2018</v>
      </c>
      <c r="F6543" t="s">
        <v>138</v>
      </c>
      <c r="G6543" t="s">
        <v>14</v>
      </c>
      <c r="H6543" t="s">
        <v>26</v>
      </c>
      <c r="I6543" t="s">
        <v>40</v>
      </c>
      <c r="J6543">
        <v>0.187443314</v>
      </c>
      <c r="K6543">
        <v>10.938344155844197</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K6544">
        <v>10.938344155844197</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K6545">
        <v>10.938344155844197</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K6546">
        <v>10.938344155844197</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K6547">
        <v>10.938344155844197</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K6548">
        <v>10.938344155844197</v>
      </c>
      <c r="L6548">
        <v>87.788200000000003</v>
      </c>
      <c r="M6548">
        <v>4</v>
      </c>
    </row>
    <row r="6549" spans="1:13" x14ac:dyDescent="0.3">
      <c r="A6549" t="s">
        <v>10</v>
      </c>
      <c r="B6549">
        <v>6548</v>
      </c>
      <c r="C6549" t="s">
        <v>400</v>
      </c>
      <c r="D6549" t="s">
        <v>12</v>
      </c>
      <c r="E6549">
        <v>2018</v>
      </c>
      <c r="F6549" t="s">
        <v>138</v>
      </c>
      <c r="G6549" t="s">
        <v>14</v>
      </c>
      <c r="H6549" t="s">
        <v>26</v>
      </c>
      <c r="I6549" t="s">
        <v>40</v>
      </c>
      <c r="J6549">
        <v>0</v>
      </c>
      <c r="K6549">
        <v>10.938344155844197</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K6550">
        <v>10.938344155844197</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K6551">
        <v>10.938344155844197</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K6552">
        <v>10.16340000000001</v>
      </c>
      <c r="L6552">
        <v>156.3946</v>
      </c>
      <c r="M6552">
        <v>4</v>
      </c>
    </row>
    <row r="6553" spans="1:13" x14ac:dyDescent="0.3">
      <c r="A6553" t="s">
        <v>10</v>
      </c>
      <c r="B6553">
        <v>6552</v>
      </c>
      <c r="C6553" t="s">
        <v>886</v>
      </c>
      <c r="D6553" t="s">
        <v>54</v>
      </c>
      <c r="E6553">
        <v>2018</v>
      </c>
      <c r="F6553" t="s">
        <v>138</v>
      </c>
      <c r="G6553" t="s">
        <v>14</v>
      </c>
      <c r="H6553" t="s">
        <v>26</v>
      </c>
      <c r="I6553" t="s">
        <v>40</v>
      </c>
      <c r="J6553">
        <v>1.4998914E-2</v>
      </c>
      <c r="K6553">
        <v>10.16340000000001</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K6554">
        <v>10.16340000000001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K6555">
        <v>10.16340000000001</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K6556">
        <v>10.16340000000001</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K6557">
        <v>10.16340000000001</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K6558">
        <v>10.16340000000001</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K6559">
        <v>10.003046875000003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K6560">
        <v>10.003046875000003</v>
      </c>
      <c r="L6560">
        <v>172.2764</v>
      </c>
      <c r="M6560">
        <v>4</v>
      </c>
    </row>
    <row r="6561" spans="1:13" x14ac:dyDescent="0.3">
      <c r="A6561" t="s">
        <v>10</v>
      </c>
      <c r="B6561">
        <v>6560</v>
      </c>
      <c r="C6561" t="s">
        <v>192</v>
      </c>
      <c r="D6561" t="s">
        <v>153</v>
      </c>
      <c r="E6561">
        <v>2018</v>
      </c>
      <c r="F6561" t="s">
        <v>138</v>
      </c>
      <c r="G6561" t="s">
        <v>14</v>
      </c>
      <c r="H6561" t="s">
        <v>26</v>
      </c>
      <c r="I6561" t="s">
        <v>40</v>
      </c>
      <c r="J6561">
        <v>0</v>
      </c>
      <c r="K6561">
        <v>10.003046875000003</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K6562">
        <v>10.693354166666698</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K6563">
        <v>10.693354166666698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K6564">
        <v>10.693354166666698</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K6565">
        <v>10.693354166666698</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K6566">
        <v>10.693354166666698</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K6567">
        <v>10.693354166666698</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K6568">
        <v>9.9571910112359632</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K6569">
        <v>9.9571910112359632</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K6570">
        <v>12.025641891891883</v>
      </c>
      <c r="L6570">
        <v>225.90620000000001</v>
      </c>
      <c r="M6570">
        <v>4</v>
      </c>
    </row>
    <row r="6571" spans="1:13" x14ac:dyDescent="0.3">
      <c r="A6571" t="s">
        <v>17</v>
      </c>
      <c r="B6571">
        <v>6570</v>
      </c>
      <c r="C6571" t="s">
        <v>828</v>
      </c>
      <c r="D6571" t="s">
        <v>95</v>
      </c>
      <c r="E6571">
        <v>2018</v>
      </c>
      <c r="F6571" t="s">
        <v>138</v>
      </c>
      <c r="G6571" t="s">
        <v>14</v>
      </c>
      <c r="H6571" t="s">
        <v>26</v>
      </c>
      <c r="I6571" t="s">
        <v>40</v>
      </c>
      <c r="J6571">
        <v>0.13299549399999999</v>
      </c>
      <c r="K6571">
        <v>10.155138888888908</v>
      </c>
      <c r="L6571">
        <v>113.5544</v>
      </c>
      <c r="M6571">
        <v>4</v>
      </c>
    </row>
    <row r="6572" spans="1:13" x14ac:dyDescent="0.3">
      <c r="A6572" t="s">
        <v>17</v>
      </c>
      <c r="B6572">
        <v>6571</v>
      </c>
      <c r="C6572" t="s">
        <v>1301</v>
      </c>
      <c r="D6572" t="s">
        <v>28</v>
      </c>
      <c r="E6572">
        <v>2018</v>
      </c>
      <c r="F6572" t="s">
        <v>138</v>
      </c>
      <c r="G6572" t="s">
        <v>14</v>
      </c>
      <c r="H6572" t="s">
        <v>26</v>
      </c>
      <c r="I6572" t="s">
        <v>40</v>
      </c>
      <c r="J6572">
        <v>3.7131628E-2</v>
      </c>
      <c r="K6572">
        <v>10.219992295839765</v>
      </c>
      <c r="L6572">
        <v>216.48240000000001</v>
      </c>
      <c r="M6572">
        <v>4</v>
      </c>
    </row>
    <row r="6573" spans="1:13" x14ac:dyDescent="0.3">
      <c r="A6573" t="s">
        <v>17</v>
      </c>
      <c r="B6573">
        <v>6572</v>
      </c>
      <c r="C6573" t="s">
        <v>1110</v>
      </c>
      <c r="D6573" t="s">
        <v>12</v>
      </c>
      <c r="E6573">
        <v>2018</v>
      </c>
      <c r="F6573" t="s">
        <v>138</v>
      </c>
      <c r="G6573" t="s">
        <v>14</v>
      </c>
      <c r="H6573" t="s">
        <v>26</v>
      </c>
      <c r="I6573" t="s">
        <v>40</v>
      </c>
      <c r="J6573">
        <v>4.1970937999999999E-2</v>
      </c>
      <c r="K6573">
        <v>10.938344155844197</v>
      </c>
      <c r="L6573">
        <v>55.427199999999999</v>
      </c>
      <c r="M6573">
        <v>4</v>
      </c>
    </row>
    <row r="6574" spans="1:13" x14ac:dyDescent="0.3">
      <c r="A6574" t="s">
        <v>17</v>
      </c>
      <c r="B6574">
        <v>6573</v>
      </c>
      <c r="C6574" t="s">
        <v>1153</v>
      </c>
      <c r="D6574" t="s">
        <v>64</v>
      </c>
      <c r="E6574">
        <v>2018</v>
      </c>
      <c r="F6574" t="s">
        <v>138</v>
      </c>
      <c r="G6574" t="s">
        <v>14</v>
      </c>
      <c r="H6574" t="s">
        <v>26</v>
      </c>
      <c r="I6574" t="s">
        <v>40</v>
      </c>
      <c r="J6574">
        <v>1.9592288999999999E-2</v>
      </c>
      <c r="K6574">
        <v>11.230177514792899</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17</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17</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17</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17</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K8248">
        <v>10.155138888888908</v>
      </c>
      <c r="L8248">
        <v>106.26220000000001</v>
      </c>
      <c r="M8248">
        <v>4</v>
      </c>
    </row>
    <row r="8249" spans="1:13" x14ac:dyDescent="0.3">
      <c r="A8249" t="s">
        <v>17</v>
      </c>
      <c r="B8249">
        <v>8248</v>
      </c>
      <c r="C8249" t="s">
        <v>662</v>
      </c>
      <c r="D8249" t="s">
        <v>57</v>
      </c>
      <c r="E8249">
        <v>2018</v>
      </c>
      <c r="F8249" t="s">
        <v>45</v>
      </c>
      <c r="G8249" t="s">
        <v>21</v>
      </c>
      <c r="H8249" t="s">
        <v>15</v>
      </c>
      <c r="I8249" t="s">
        <v>46</v>
      </c>
      <c r="J8249">
        <v>0</v>
      </c>
      <c r="K8249">
        <v>9.2222111553784849</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K8250">
        <v>10.938344155844197</v>
      </c>
      <c r="L8250">
        <v>99.7042</v>
      </c>
      <c r="M8250">
        <v>4</v>
      </c>
    </row>
    <row r="8251" spans="1:13" x14ac:dyDescent="0.3">
      <c r="A8251" t="s">
        <v>17</v>
      </c>
      <c r="B8251">
        <v>8250</v>
      </c>
      <c r="C8251" t="s">
        <v>718</v>
      </c>
      <c r="D8251" t="s">
        <v>19</v>
      </c>
      <c r="E8251">
        <v>2018</v>
      </c>
      <c r="F8251" t="s">
        <v>45</v>
      </c>
      <c r="G8251" t="s">
        <v>21</v>
      </c>
      <c r="H8251" t="s">
        <v>15</v>
      </c>
      <c r="I8251" t="s">
        <v>46</v>
      </c>
      <c r="J8251">
        <v>0</v>
      </c>
      <c r="K8251">
        <v>10.867682692307703</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K8252">
        <v>10.867682692307703</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K8253">
        <v>11.163752747252786</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K8254">
        <v>11.163752747252786</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K8255">
        <v>11.163752747252786</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K8256">
        <v>10.16340000000001</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K8257">
        <v>11.230177514792899</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K8258">
        <v>10.693354166666698</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K8259">
        <v>10.693354166666698</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K8260">
        <v>9.9571910112359632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K8261">
        <v>9.9571910112359632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K8262">
        <v>10.155138888888908</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K8263">
        <v>10.155138888888908</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K8264">
        <v>10.155138888888908</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K8265">
        <v>10.155138888888908</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K8266">
        <v>10.155138888888908</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K8267">
        <v>10.155138888888908</v>
      </c>
      <c r="L8267">
        <v>78.232799999999997</v>
      </c>
      <c r="M8267">
        <v>4</v>
      </c>
    </row>
    <row r="8268" spans="1:13" x14ac:dyDescent="0.3">
      <c r="A8268" t="s">
        <v>17</v>
      </c>
      <c r="B8268">
        <v>8267</v>
      </c>
      <c r="C8268" t="s">
        <v>986</v>
      </c>
      <c r="D8268" t="s">
        <v>95</v>
      </c>
      <c r="E8268">
        <v>2018</v>
      </c>
      <c r="F8268" t="s">
        <v>45</v>
      </c>
      <c r="G8268" t="s">
        <v>21</v>
      </c>
      <c r="H8268" t="s">
        <v>15</v>
      </c>
      <c r="I8268" t="s">
        <v>46</v>
      </c>
      <c r="J8268">
        <v>0</v>
      </c>
      <c r="K8268">
        <v>10.155138888888908</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K8269">
        <v>10.155138888888908</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K8270">
        <v>9.2222111553784849</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K8271">
        <v>9.2222111553784849</v>
      </c>
      <c r="L8271">
        <v>228.5668</v>
      </c>
      <c r="M8271">
        <v>4</v>
      </c>
    </row>
    <row r="8272" spans="1:13" x14ac:dyDescent="0.3">
      <c r="A8272" t="s">
        <v>17</v>
      </c>
      <c r="B8272">
        <v>8271</v>
      </c>
      <c r="C8272" t="s">
        <v>1364</v>
      </c>
      <c r="D8272" t="s">
        <v>57</v>
      </c>
      <c r="E8272">
        <v>2018</v>
      </c>
      <c r="F8272" t="s">
        <v>45</v>
      </c>
      <c r="G8272" t="s">
        <v>21</v>
      </c>
      <c r="H8272" t="s">
        <v>15</v>
      </c>
      <c r="I8272" t="s">
        <v>46</v>
      </c>
      <c r="J8272">
        <v>4.8545853E-2</v>
      </c>
      <c r="K8272">
        <v>9.2222111553784849</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K8273">
        <v>10.33063636363636</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K8274">
        <v>10.219992295839765</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K8275">
        <v>10.219992295839765</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K8276">
        <v>10.219992295839765</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K8277">
        <v>10.219992295839765</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K8278">
        <v>10.219992295839765</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K8279">
        <v>10.219992295839765</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K8280">
        <v>10.219992295839765</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K8281">
        <v>10.219992295839765</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K8282">
        <v>10.219992295839765</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K8283">
        <v>10.219992295839765</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K8284">
        <v>10.219992295839765</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K8285">
        <v>11.142456011730232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K8286">
        <v>11.142456011730232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K8287">
        <v>11.142456011730232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K8288">
        <v>11.142456011730232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K8289">
        <v>11.142456011730232</v>
      </c>
      <c r="L8289">
        <v>177.6002</v>
      </c>
      <c r="M8289">
        <v>4</v>
      </c>
    </row>
    <row r="8290" spans="1:13" x14ac:dyDescent="0.3">
      <c r="A8290" t="s">
        <v>17</v>
      </c>
      <c r="B8290">
        <v>8289</v>
      </c>
      <c r="C8290" t="s">
        <v>535</v>
      </c>
      <c r="D8290" t="s">
        <v>67</v>
      </c>
      <c r="E8290">
        <v>2018</v>
      </c>
      <c r="F8290" t="s">
        <v>45</v>
      </c>
      <c r="G8290" t="s">
        <v>21</v>
      </c>
      <c r="H8290" t="s">
        <v>15</v>
      </c>
      <c r="I8290" t="s">
        <v>46</v>
      </c>
      <c r="J8290">
        <v>0.101281</v>
      </c>
      <c r="K8290">
        <v>11.142456011730232</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K8291">
        <v>11.142456011730232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K8292">
        <v>11.142456011730232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K8293">
        <v>11.142456011730232</v>
      </c>
      <c r="L8293">
        <v>179.1344</v>
      </c>
      <c r="M8293">
        <v>4</v>
      </c>
    </row>
    <row r="8294" spans="1:13" x14ac:dyDescent="0.3">
      <c r="A8294" t="s">
        <v>17</v>
      </c>
      <c r="B8294">
        <v>8293</v>
      </c>
      <c r="C8294" t="s">
        <v>777</v>
      </c>
      <c r="D8294" t="s">
        <v>67</v>
      </c>
      <c r="E8294">
        <v>2018</v>
      </c>
      <c r="F8294" t="s">
        <v>45</v>
      </c>
      <c r="G8294" t="s">
        <v>21</v>
      </c>
      <c r="H8294" t="s">
        <v>15</v>
      </c>
      <c r="I8294" t="s">
        <v>46</v>
      </c>
      <c r="J8294">
        <v>2.0769677E-2</v>
      </c>
      <c r="K8294">
        <v>11.142456011730232</v>
      </c>
      <c r="L8294">
        <v>117.5782</v>
      </c>
      <c r="M8294">
        <v>4</v>
      </c>
    </row>
    <row r="8295" spans="1:13" x14ac:dyDescent="0.3">
      <c r="A8295" t="s">
        <v>17</v>
      </c>
      <c r="B8295">
        <v>8294</v>
      </c>
      <c r="C8295" t="s">
        <v>1018</v>
      </c>
      <c r="D8295" t="s">
        <v>24</v>
      </c>
      <c r="E8295">
        <v>2018</v>
      </c>
      <c r="F8295" t="s">
        <v>45</v>
      </c>
      <c r="G8295" t="s">
        <v>21</v>
      </c>
      <c r="H8295" t="s">
        <v>15</v>
      </c>
      <c r="I8295" t="s">
        <v>46</v>
      </c>
      <c r="J8295">
        <v>5.4720642E-2</v>
      </c>
      <c r="K8295">
        <v>10.792698598130867</v>
      </c>
      <c r="L8295">
        <v>107.8254</v>
      </c>
      <c r="M8295">
        <v>4</v>
      </c>
    </row>
    <row r="8296" spans="1:13" x14ac:dyDescent="0.3">
      <c r="A8296" t="s">
        <v>17</v>
      </c>
      <c r="B8296">
        <v>8295</v>
      </c>
      <c r="C8296" t="s">
        <v>728</v>
      </c>
      <c r="D8296" t="s">
        <v>24</v>
      </c>
      <c r="E8296">
        <v>2018</v>
      </c>
      <c r="F8296" t="s">
        <v>45</v>
      </c>
      <c r="G8296" t="s">
        <v>21</v>
      </c>
      <c r="H8296" t="s">
        <v>15</v>
      </c>
      <c r="I8296" t="s">
        <v>46</v>
      </c>
      <c r="J8296">
        <v>0.116347087</v>
      </c>
      <c r="K8296">
        <v>10.792698598130867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K8297">
        <v>10.792698598130867</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K8298">
        <v>10.792698598130867</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K8299">
        <v>10.792698598130867</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K8300">
        <v>10.792698598130867</v>
      </c>
      <c r="L8300">
        <v>261.291</v>
      </c>
      <c r="M8300">
        <v>4</v>
      </c>
    </row>
    <row r="8301" spans="1:13" x14ac:dyDescent="0.3">
      <c r="A8301" t="s">
        <v>17</v>
      </c>
      <c r="B8301">
        <v>8300</v>
      </c>
      <c r="C8301" t="s">
        <v>1575</v>
      </c>
      <c r="D8301" t="s">
        <v>24</v>
      </c>
      <c r="E8301">
        <v>2018</v>
      </c>
      <c r="F8301" t="s">
        <v>45</v>
      </c>
      <c r="G8301" t="s">
        <v>21</v>
      </c>
      <c r="H8301" t="s">
        <v>15</v>
      </c>
      <c r="I8301" t="s">
        <v>46</v>
      </c>
      <c r="J8301">
        <v>0.130544568</v>
      </c>
      <c r="K8301">
        <v>10.792698598130867</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K8302">
        <v>10.792698598130867</v>
      </c>
      <c r="L8302">
        <v>31.9558</v>
      </c>
      <c r="M8302">
        <v>4</v>
      </c>
    </row>
    <row r="8303" spans="1:13" x14ac:dyDescent="0.3">
      <c r="A8303" t="s">
        <v>17</v>
      </c>
      <c r="B8303">
        <v>8302</v>
      </c>
      <c r="C8303" t="s">
        <v>229</v>
      </c>
      <c r="D8303" t="s">
        <v>24</v>
      </c>
      <c r="E8303">
        <v>2018</v>
      </c>
      <c r="F8303" t="s">
        <v>45</v>
      </c>
      <c r="G8303" t="s">
        <v>21</v>
      </c>
      <c r="H8303" t="s">
        <v>15</v>
      </c>
      <c r="I8303" t="s">
        <v>46</v>
      </c>
      <c r="J8303">
        <v>0</v>
      </c>
      <c r="K8303">
        <v>10.792698598130867</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K8304">
        <v>10.792698598130867</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K8305">
        <v>10.792698598130867</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K8306">
        <v>10.792698598130867</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K8307">
        <v>10.792698598130867</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K8308">
        <v>10.792698598130867</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K8309">
        <v>10.792698598130867</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K8310">
        <v>10.792698598130867</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K8311">
        <v>10.792698598130867</v>
      </c>
      <c r="L8311">
        <v>248.8434</v>
      </c>
      <c r="M8311">
        <v>4</v>
      </c>
    </row>
    <row r="8312" spans="1:13" x14ac:dyDescent="0.3">
      <c r="A8312" t="s">
        <v>17</v>
      </c>
      <c r="B8312">
        <v>8311</v>
      </c>
      <c r="C8312" t="s">
        <v>1278</v>
      </c>
      <c r="D8312" t="s">
        <v>24</v>
      </c>
      <c r="E8312">
        <v>2018</v>
      </c>
      <c r="F8312" t="s">
        <v>45</v>
      </c>
      <c r="G8312" t="s">
        <v>21</v>
      </c>
      <c r="H8312" t="s">
        <v>15</v>
      </c>
      <c r="I8312" t="s">
        <v>46</v>
      </c>
      <c r="J8312">
        <v>1.3951504E-2</v>
      </c>
      <c r="K8312">
        <v>10.792698598130867</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K8313">
        <v>10.792698598130867</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K8314">
        <v>10.938344155844197</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K8315">
        <v>10.938344155844197</v>
      </c>
      <c r="L8315">
        <v>57.792999999999999</v>
      </c>
      <c r="M8315">
        <v>4</v>
      </c>
    </row>
    <row r="8316" spans="1:13" x14ac:dyDescent="0.3">
      <c r="A8316" t="s">
        <v>17</v>
      </c>
      <c r="B8316">
        <v>8315</v>
      </c>
      <c r="C8316" t="s">
        <v>1168</v>
      </c>
      <c r="D8316" t="s">
        <v>12</v>
      </c>
      <c r="E8316">
        <v>2018</v>
      </c>
      <c r="F8316" t="s">
        <v>45</v>
      </c>
      <c r="G8316" t="s">
        <v>21</v>
      </c>
      <c r="H8316" t="s">
        <v>15</v>
      </c>
      <c r="I8316" t="s">
        <v>46</v>
      </c>
      <c r="J8316">
        <v>0</v>
      </c>
      <c r="K8316">
        <v>10.938344155844197</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K8317">
        <v>10.938344155844197</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K8318">
        <v>10.938344155844197</v>
      </c>
      <c r="L8318">
        <v>182.0976</v>
      </c>
      <c r="M8318">
        <v>4</v>
      </c>
    </row>
    <row r="8319" spans="1:13" x14ac:dyDescent="0.3">
      <c r="A8319" t="s">
        <v>17</v>
      </c>
      <c r="B8319">
        <v>8318</v>
      </c>
      <c r="C8319" t="s">
        <v>1447</v>
      </c>
      <c r="D8319" t="s">
        <v>12</v>
      </c>
      <c r="E8319">
        <v>2018</v>
      </c>
      <c r="F8319" t="s">
        <v>45</v>
      </c>
      <c r="G8319" t="s">
        <v>21</v>
      </c>
      <c r="H8319" t="s">
        <v>15</v>
      </c>
      <c r="I8319" t="s">
        <v>46</v>
      </c>
      <c r="J8319">
        <v>0</v>
      </c>
      <c r="K8319">
        <v>10.938344155844197</v>
      </c>
      <c r="L8319">
        <v>115.3492</v>
      </c>
      <c r="M8319">
        <v>4</v>
      </c>
    </row>
    <row r="8320" spans="1:13" x14ac:dyDescent="0.3">
      <c r="A8320" t="s">
        <v>17</v>
      </c>
      <c r="B8320">
        <v>8319</v>
      </c>
      <c r="C8320" t="s">
        <v>447</v>
      </c>
      <c r="D8320" t="s">
        <v>12</v>
      </c>
      <c r="E8320">
        <v>2018</v>
      </c>
      <c r="F8320" t="s">
        <v>45</v>
      </c>
      <c r="G8320" t="s">
        <v>21</v>
      </c>
      <c r="H8320" t="s">
        <v>15</v>
      </c>
      <c r="I8320" t="s">
        <v>46</v>
      </c>
      <c r="J8320">
        <v>3.3059299E-2</v>
      </c>
      <c r="K8320">
        <v>10.938344155844197</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K8321">
        <v>10.938344155844197</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K8322">
        <v>10.938344155844197</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K8323">
        <v>10.938344155844197</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K8324">
        <v>10.938344155844197</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K8325">
        <v>10.938344155844197</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K8326">
        <v>10.938344155844197</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K8327">
        <v>10.938344155844197</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K8328">
        <v>10.938344155844197</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K8329">
        <v>10.938344155844197</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K8330">
        <v>10.938344155844197</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K8331">
        <v>10.938344155844197</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K8332">
        <v>10.938344155844197</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K8333">
        <v>10.938344155844197</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K8334">
        <v>10.938344155844197</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K8335">
        <v>10.938344155844197</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K8336">
        <v>9.7488785046728896</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K8337">
        <v>9.7488785046728896</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K8338">
        <v>9.7488785046728896</v>
      </c>
      <c r="L8338">
        <v>37.750599999999999</v>
      </c>
      <c r="M8338">
        <v>4</v>
      </c>
    </row>
    <row r="8339" spans="1:13" x14ac:dyDescent="0.3">
      <c r="A8339" t="s">
        <v>17</v>
      </c>
      <c r="B8339">
        <v>8338</v>
      </c>
      <c r="C8339" t="s">
        <v>497</v>
      </c>
      <c r="D8339" t="s">
        <v>19</v>
      </c>
      <c r="E8339">
        <v>2018</v>
      </c>
      <c r="F8339" t="s">
        <v>45</v>
      </c>
      <c r="G8339" t="s">
        <v>21</v>
      </c>
      <c r="H8339" t="s">
        <v>15</v>
      </c>
      <c r="I8339" t="s">
        <v>46</v>
      </c>
      <c r="J8339">
        <v>0</v>
      </c>
      <c r="K8339">
        <v>10.867682692307703</v>
      </c>
      <c r="L8339">
        <v>37.3506</v>
      </c>
      <c r="M8339">
        <v>4</v>
      </c>
    </row>
    <row r="8340" spans="1:13" x14ac:dyDescent="0.3">
      <c r="A8340" t="s">
        <v>17</v>
      </c>
      <c r="B8340">
        <v>8339</v>
      </c>
      <c r="C8340" t="s">
        <v>992</v>
      </c>
      <c r="D8340" t="s">
        <v>19</v>
      </c>
      <c r="E8340">
        <v>2018</v>
      </c>
      <c r="F8340" t="s">
        <v>45</v>
      </c>
      <c r="G8340" t="s">
        <v>21</v>
      </c>
      <c r="H8340" t="s">
        <v>15</v>
      </c>
      <c r="I8340" t="s">
        <v>46</v>
      </c>
      <c r="J8340">
        <v>0</v>
      </c>
      <c r="K8340">
        <v>10.867682692307703</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K8341">
        <v>10.867682692307703</v>
      </c>
      <c r="L8341">
        <v>42.177</v>
      </c>
      <c r="M8341">
        <v>4</v>
      </c>
    </row>
    <row r="8342" spans="1:13" x14ac:dyDescent="0.3">
      <c r="A8342" t="s">
        <v>17</v>
      </c>
      <c r="B8342">
        <v>8341</v>
      </c>
      <c r="C8342" t="s">
        <v>1068</v>
      </c>
      <c r="D8342" t="s">
        <v>19</v>
      </c>
      <c r="E8342">
        <v>2018</v>
      </c>
      <c r="F8342" t="s">
        <v>45</v>
      </c>
      <c r="G8342" t="s">
        <v>21</v>
      </c>
      <c r="H8342" t="s">
        <v>15</v>
      </c>
      <c r="I8342" t="s">
        <v>46</v>
      </c>
      <c r="J8342">
        <v>1.7556795E-2</v>
      </c>
      <c r="K8342">
        <v>10.867682692307703</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K8343">
        <v>10.867682692307703</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K8344">
        <v>10.867682692307703</v>
      </c>
      <c r="L8344">
        <v>235.69059999999999</v>
      </c>
      <c r="M8344">
        <v>4</v>
      </c>
    </row>
    <row r="8345" spans="1:13" x14ac:dyDescent="0.3">
      <c r="A8345" t="s">
        <v>17</v>
      </c>
      <c r="B8345">
        <v>8344</v>
      </c>
      <c r="C8345" t="s">
        <v>238</v>
      </c>
      <c r="D8345" t="s">
        <v>19</v>
      </c>
      <c r="E8345">
        <v>2018</v>
      </c>
      <c r="F8345" t="s">
        <v>45</v>
      </c>
      <c r="G8345" t="s">
        <v>21</v>
      </c>
      <c r="H8345" t="s">
        <v>15</v>
      </c>
      <c r="I8345" t="s">
        <v>46</v>
      </c>
      <c r="J8345">
        <v>0</v>
      </c>
      <c r="K8345">
        <v>10.867682692307703</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K8346">
        <v>10.867682692307703</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K8347">
        <v>10.867682692307703</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K8348">
        <v>10.867682692307703</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K8349">
        <v>10.867682692307703</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K8350">
        <v>10.867682692307703</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K8351">
        <v>10.867682692307703</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K8352">
        <v>10.867682692307703</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K8353">
        <v>10.867682692307703</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K8354">
        <v>10.867682692307703</v>
      </c>
      <c r="L8354">
        <v>117.4492</v>
      </c>
      <c r="M8354">
        <v>4</v>
      </c>
    </row>
    <row r="8355" spans="1:13" x14ac:dyDescent="0.3">
      <c r="A8355" t="s">
        <v>17</v>
      </c>
      <c r="B8355">
        <v>8354</v>
      </c>
      <c r="C8355" t="s">
        <v>448</v>
      </c>
      <c r="D8355" t="s">
        <v>42</v>
      </c>
      <c r="E8355">
        <v>2018</v>
      </c>
      <c r="F8355" t="s">
        <v>45</v>
      </c>
      <c r="G8355" t="s">
        <v>21</v>
      </c>
      <c r="H8355" t="s">
        <v>15</v>
      </c>
      <c r="I8355" t="s">
        <v>46</v>
      </c>
      <c r="J8355">
        <v>0.118099673</v>
      </c>
      <c r="K8355">
        <v>11.163752747252786</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K8356">
        <v>11.163752747252786</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K8357">
        <v>11.163752747252786</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K8358">
        <v>11.163752747252786</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K8359">
        <v>11.163752747252786</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K8360">
        <v>11.163752747252786</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K8361">
        <v>11.163752747252786</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K8362">
        <v>11.163752747252786</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K8363">
        <v>11.163752747252786</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K8364">
        <v>11.163752747252786</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K8365">
        <v>11.163752747252786</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K8366">
        <v>11.163752747252786</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K8367">
        <v>11.163752747252786</v>
      </c>
      <c r="L8367">
        <v>107.3912</v>
      </c>
      <c r="M8367">
        <v>4</v>
      </c>
    </row>
    <row r="8368" spans="1:13" x14ac:dyDescent="0.3">
      <c r="A8368" t="s">
        <v>17</v>
      </c>
      <c r="B8368">
        <v>8367</v>
      </c>
      <c r="C8368" t="s">
        <v>1600</v>
      </c>
      <c r="D8368" t="s">
        <v>42</v>
      </c>
      <c r="E8368">
        <v>2018</v>
      </c>
      <c r="F8368" t="s">
        <v>45</v>
      </c>
      <c r="G8368" t="s">
        <v>21</v>
      </c>
      <c r="H8368" t="s">
        <v>15</v>
      </c>
      <c r="I8368" t="s">
        <v>46</v>
      </c>
      <c r="J8368">
        <v>1.2592289E-2</v>
      </c>
      <c r="K8368">
        <v>11.163752747252786</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K8369">
        <v>11.163752747252786</v>
      </c>
      <c r="L8369">
        <v>174.1396</v>
      </c>
      <c r="M8369">
        <v>4</v>
      </c>
    </row>
    <row r="8370" spans="1:13" x14ac:dyDescent="0.3">
      <c r="A8370" t="s">
        <v>17</v>
      </c>
      <c r="B8370">
        <v>8369</v>
      </c>
      <c r="C8370" t="s">
        <v>1226</v>
      </c>
      <c r="D8370" t="s">
        <v>42</v>
      </c>
      <c r="E8370">
        <v>2018</v>
      </c>
      <c r="F8370" t="s">
        <v>45</v>
      </c>
      <c r="G8370" t="s">
        <v>21</v>
      </c>
      <c r="H8370" t="s">
        <v>15</v>
      </c>
      <c r="I8370" t="s">
        <v>46</v>
      </c>
      <c r="J8370">
        <v>1.3056494E-2</v>
      </c>
      <c r="K8370">
        <v>11.163752747252786</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K8371">
        <v>11.163752747252786</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K8372">
        <v>11.163752747252786</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K8373">
        <v>11.163752747252786</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K8374">
        <v>11.163752747252786</v>
      </c>
      <c r="L8374">
        <v>253.60140000000001</v>
      </c>
      <c r="M8374">
        <v>4</v>
      </c>
    </row>
    <row r="8375" spans="1:13" x14ac:dyDescent="0.3">
      <c r="A8375" t="s">
        <v>17</v>
      </c>
      <c r="B8375">
        <v>8374</v>
      </c>
      <c r="C8375" t="s">
        <v>742</v>
      </c>
      <c r="D8375" t="s">
        <v>42</v>
      </c>
      <c r="E8375">
        <v>2018</v>
      </c>
      <c r="F8375" t="s">
        <v>45</v>
      </c>
      <c r="G8375" t="s">
        <v>21</v>
      </c>
      <c r="H8375" t="s">
        <v>15</v>
      </c>
      <c r="I8375" t="s">
        <v>46</v>
      </c>
      <c r="J8375">
        <v>0</v>
      </c>
      <c r="K8375">
        <v>11.163752747252786</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K8376">
        <v>11.163752747252786</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K8377">
        <v>11.163752747252786</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K8378">
        <v>11.163752747252786</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K8379">
        <v>11.163752747252786</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K8380">
        <v>11.163752747252786</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K8381">
        <v>11.163752747252786</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K8382">
        <v>11.163752747252786</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K8383">
        <v>10.16340000000001</v>
      </c>
      <c r="L8383">
        <v>115.515</v>
      </c>
      <c r="M8383">
        <v>4</v>
      </c>
    </row>
    <row r="8384" spans="1:13" x14ac:dyDescent="0.3">
      <c r="A8384" t="s">
        <v>17</v>
      </c>
      <c r="B8384">
        <v>8383</v>
      </c>
      <c r="C8384" t="s">
        <v>1117</v>
      </c>
      <c r="D8384" t="s">
        <v>54</v>
      </c>
      <c r="E8384">
        <v>2018</v>
      </c>
      <c r="F8384" t="s">
        <v>45</v>
      </c>
      <c r="G8384" t="s">
        <v>21</v>
      </c>
      <c r="H8384" t="s">
        <v>15</v>
      </c>
      <c r="I8384" t="s">
        <v>46</v>
      </c>
      <c r="J8384">
        <v>3.9370913E-2</v>
      </c>
      <c r="K8384">
        <v>10.16340000000001</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K8385">
        <v>10.16340000000001</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K8386">
        <v>11.230177514792899</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K8387">
        <v>11.230177514792899</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K8388">
        <v>10.003046875000003</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K8389">
        <v>10.693354166666698</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K8390">
        <v>10.693354166666698</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K8391">
        <v>10.693354166666698</v>
      </c>
      <c r="L8391">
        <v>116.7834</v>
      </c>
      <c r="M8391">
        <v>4</v>
      </c>
    </row>
    <row r="8392" spans="1:13" x14ac:dyDescent="0.3">
      <c r="A8392" t="s">
        <v>17</v>
      </c>
      <c r="B8392">
        <v>8391</v>
      </c>
      <c r="C8392" t="s">
        <v>1042</v>
      </c>
      <c r="D8392" t="s">
        <v>48</v>
      </c>
      <c r="E8392">
        <v>2018</v>
      </c>
      <c r="F8392" t="s">
        <v>45</v>
      </c>
      <c r="G8392" t="s">
        <v>21</v>
      </c>
      <c r="H8392" t="s">
        <v>15</v>
      </c>
      <c r="I8392" t="s">
        <v>46</v>
      </c>
      <c r="J8392">
        <v>0</v>
      </c>
      <c r="K8392">
        <v>10.693354166666698</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K8393">
        <v>10.693354166666698</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K8394">
        <v>10.693354166666698</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K8395">
        <v>10.693354166666698</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K8396">
        <v>10.693354166666698</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K8397">
        <v>10.693354166666698</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K8398">
        <v>10.693354166666698</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K8399">
        <v>10.693354166666698</v>
      </c>
      <c r="L8399">
        <v>92.5488</v>
      </c>
      <c r="M8399">
        <v>4</v>
      </c>
    </row>
    <row r="8400" spans="1:13" x14ac:dyDescent="0.3">
      <c r="A8400" t="s">
        <v>17</v>
      </c>
      <c r="B8400">
        <v>8399</v>
      </c>
      <c r="C8400" t="s">
        <v>220</v>
      </c>
      <c r="D8400" t="s">
        <v>48</v>
      </c>
      <c r="E8400">
        <v>2018</v>
      </c>
      <c r="F8400" t="s">
        <v>45</v>
      </c>
      <c r="G8400" t="s">
        <v>21</v>
      </c>
      <c r="H8400" t="s">
        <v>15</v>
      </c>
      <c r="I8400" t="s">
        <v>46</v>
      </c>
      <c r="J8400">
        <v>4.0747616E-2</v>
      </c>
      <c r="K8400">
        <v>10.693354166666698</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K8401">
        <v>10.693354166666698</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K8402">
        <v>10.693354166666698</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K8403">
        <v>10.693354166666698</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K8404">
        <v>10.693354166666698</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K8405">
        <v>10.693354166666698</v>
      </c>
      <c r="L8405">
        <v>170.44220000000001</v>
      </c>
      <c r="M8405">
        <v>4</v>
      </c>
    </row>
    <row r="8406" spans="1:13" x14ac:dyDescent="0.3">
      <c r="A8406" t="s">
        <v>17</v>
      </c>
      <c r="B8406">
        <v>8405</v>
      </c>
      <c r="C8406" t="s">
        <v>1601</v>
      </c>
      <c r="D8406" t="s">
        <v>48</v>
      </c>
      <c r="E8406">
        <v>2018</v>
      </c>
      <c r="F8406" t="s">
        <v>45</v>
      </c>
      <c r="G8406" t="s">
        <v>21</v>
      </c>
      <c r="H8406" t="s">
        <v>15</v>
      </c>
      <c r="I8406" t="s">
        <v>46</v>
      </c>
      <c r="J8406">
        <v>0</v>
      </c>
      <c r="K8406">
        <v>10.693354166666698</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K8407">
        <v>10.693354166666698</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K8408">
        <v>10.693354166666698</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K8409">
        <v>10.693354166666698</v>
      </c>
      <c r="L8409">
        <v>147.476</v>
      </c>
      <c r="M8409">
        <v>4</v>
      </c>
    </row>
    <row r="8410" spans="1:13" x14ac:dyDescent="0.3">
      <c r="A8410" t="s">
        <v>17</v>
      </c>
      <c r="B8410">
        <v>8409</v>
      </c>
      <c r="C8410" t="s">
        <v>656</v>
      </c>
      <c r="D8410" t="s">
        <v>48</v>
      </c>
      <c r="E8410">
        <v>2018</v>
      </c>
      <c r="F8410" t="s">
        <v>45</v>
      </c>
      <c r="G8410" t="s">
        <v>21</v>
      </c>
      <c r="H8410" t="s">
        <v>15</v>
      </c>
      <c r="I8410" t="s">
        <v>46</v>
      </c>
      <c r="J8410">
        <v>0.102941345</v>
      </c>
      <c r="K8410">
        <v>10.693354166666698</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K8411">
        <v>10.693354166666698</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K8412">
        <v>10.693354166666698</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K8413">
        <v>10.693354166666698</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K8414">
        <v>10.693354166666698</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K8415">
        <v>10.693354166666698</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K8416">
        <v>9.9571910112359632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K8417">
        <v>9.9571910112359632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K8418">
        <v>9.9571910112359632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K8419">
        <v>9.9571910112359632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K8420">
        <v>9.9571910112359632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K8421">
        <v>9.9571910112359632</v>
      </c>
      <c r="L8421">
        <v>242.8486</v>
      </c>
      <c r="M8421">
        <v>4</v>
      </c>
    </row>
    <row r="8422" spans="1:13" x14ac:dyDescent="0.3">
      <c r="A8422" t="s">
        <v>17</v>
      </c>
      <c r="B8422">
        <v>8421</v>
      </c>
      <c r="C8422" t="s">
        <v>1183</v>
      </c>
      <c r="D8422" t="s">
        <v>32</v>
      </c>
      <c r="E8422">
        <v>2018</v>
      </c>
      <c r="F8422" t="s">
        <v>45</v>
      </c>
      <c r="G8422" t="s">
        <v>21</v>
      </c>
      <c r="H8422" t="s">
        <v>15</v>
      </c>
      <c r="I8422" t="s">
        <v>46</v>
      </c>
      <c r="J8422">
        <v>0.114475357</v>
      </c>
      <c r="K8422">
        <v>9.9571910112359632</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K8423">
        <v>9.9571910112359632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K8424">
        <v>9.9571910112359632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K8425">
        <v>12.025641891891883</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K8426">
        <v>12.025641891891883</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K8427">
        <v>12.025641891891883</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K8428">
        <v>10.155138888888908</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K8429">
        <v>10.155138888888908</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K8430">
        <v>10.155138888888908</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K8431">
        <v>10.155138888888908</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K8432">
        <v>10.155138888888908</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K8433">
        <v>10.155138888888908</v>
      </c>
      <c r="L8433">
        <v>164.95</v>
      </c>
      <c r="M8433">
        <v>4</v>
      </c>
    </row>
    <row r="8434" spans="1:13" x14ac:dyDescent="0.3">
      <c r="A8434" t="s">
        <v>10</v>
      </c>
      <c r="B8434">
        <v>8433</v>
      </c>
      <c r="C8434" t="s">
        <v>1046</v>
      </c>
      <c r="D8434" t="s">
        <v>57</v>
      </c>
      <c r="E8434">
        <v>2018</v>
      </c>
      <c r="F8434" t="s">
        <v>45</v>
      </c>
      <c r="G8434" t="s">
        <v>21</v>
      </c>
      <c r="H8434" t="s">
        <v>15</v>
      </c>
      <c r="I8434" t="s">
        <v>46</v>
      </c>
      <c r="J8434">
        <v>0</v>
      </c>
      <c r="K8434">
        <v>9.2222111553784849</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K8435">
        <v>9.2222111553784849</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K8436">
        <v>9.2222111553784849</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K8437">
        <v>10.33063636363636</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K8438">
        <v>10.33063636363636</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K8439">
        <v>10.33063636363636</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K8440">
        <v>10.219992295839765</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K8441">
        <v>10.219992295839765</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K8442">
        <v>10.219992295839765</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K8443">
        <v>10.219992295839765</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K8444">
        <v>10.219992295839765</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K8445">
        <v>10.219992295839765</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K8446">
        <v>10.219992295839765</v>
      </c>
      <c r="L8446">
        <v>109.5228</v>
      </c>
      <c r="M8446">
        <v>4</v>
      </c>
    </row>
    <row r="8447" spans="1:13" x14ac:dyDescent="0.3">
      <c r="A8447" t="s">
        <v>10</v>
      </c>
      <c r="B8447">
        <v>8446</v>
      </c>
      <c r="C8447" t="s">
        <v>883</v>
      </c>
      <c r="D8447" t="s">
        <v>28</v>
      </c>
      <c r="E8447">
        <v>2018</v>
      </c>
      <c r="F8447" t="s">
        <v>45</v>
      </c>
      <c r="G8447" t="s">
        <v>21</v>
      </c>
      <c r="H8447" t="s">
        <v>15</v>
      </c>
      <c r="I8447" t="s">
        <v>46</v>
      </c>
      <c r="J8447">
        <v>0.10400212</v>
      </c>
      <c r="K8447">
        <v>10.219992295839765</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K8448">
        <v>10.219992295839765</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K8449">
        <v>10.219992295839765</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K8450">
        <v>11.142456011730232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K8451">
        <v>11.142456011730232</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K8452">
        <v>11.142456011730232</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K8453">
        <v>11.142456011730232</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K8454">
        <v>11.142456011730232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K8455">
        <v>11.142456011730232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K8456">
        <v>11.142456011730232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K8457">
        <v>11.142456011730232</v>
      </c>
      <c r="L8457">
        <v>196.4794</v>
      </c>
      <c r="M8457">
        <v>4</v>
      </c>
    </row>
    <row r="8458" spans="1:13" x14ac:dyDescent="0.3">
      <c r="A8458" t="s">
        <v>10</v>
      </c>
      <c r="B8458">
        <v>8457</v>
      </c>
      <c r="C8458" t="s">
        <v>1308</v>
      </c>
      <c r="D8458" t="s">
        <v>67</v>
      </c>
      <c r="E8458">
        <v>2018</v>
      </c>
      <c r="F8458" t="s">
        <v>45</v>
      </c>
      <c r="G8458" t="s">
        <v>21</v>
      </c>
      <c r="H8458" t="s">
        <v>15</v>
      </c>
      <c r="I8458" t="s">
        <v>46</v>
      </c>
      <c r="J8458">
        <v>0.127108578</v>
      </c>
      <c r="K8458">
        <v>11.142456011730232</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K8459">
        <v>11.142456011730232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K8460">
        <v>11.142456011730232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K8461">
        <v>11.142456011730232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K8462">
        <v>11.142456011730232</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K8463">
        <v>11.142456011730232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K8464">
        <v>11.142456011730232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K8465">
        <v>10.792698598130867</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K8466">
        <v>10.792698598130867</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K8467">
        <v>10.792698598130867</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K8468">
        <v>10.792698598130867</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K8469">
        <v>10.792698598130867</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K8470">
        <v>10.792698598130867</v>
      </c>
      <c r="L8470">
        <v>190.4846</v>
      </c>
      <c r="M8470">
        <v>4</v>
      </c>
    </row>
    <row r="8471" spans="1:13" x14ac:dyDescent="0.3">
      <c r="A8471" t="s">
        <v>10</v>
      </c>
      <c r="B8471">
        <v>8470</v>
      </c>
      <c r="C8471" t="s">
        <v>1487</v>
      </c>
      <c r="D8471" t="s">
        <v>24</v>
      </c>
      <c r="E8471">
        <v>2018</v>
      </c>
      <c r="F8471" t="s">
        <v>45</v>
      </c>
      <c r="G8471" t="s">
        <v>21</v>
      </c>
      <c r="H8471" t="s">
        <v>15</v>
      </c>
      <c r="I8471" t="s">
        <v>46</v>
      </c>
      <c r="J8471">
        <v>0</v>
      </c>
      <c r="K8471">
        <v>10.792698598130867</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K8472">
        <v>10.792698598130867</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K8473">
        <v>10.792698598130867</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K8474">
        <v>10.792698598130867</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K8475">
        <v>10.792698598130867</v>
      </c>
      <c r="L8475">
        <v>193.5478</v>
      </c>
      <c r="M8475">
        <v>4</v>
      </c>
    </row>
    <row r="8476" spans="1:13" x14ac:dyDescent="0.3">
      <c r="A8476" t="s">
        <v>10</v>
      </c>
      <c r="B8476">
        <v>8475</v>
      </c>
      <c r="C8476" t="s">
        <v>1157</v>
      </c>
      <c r="D8476" t="s">
        <v>12</v>
      </c>
      <c r="E8476">
        <v>2018</v>
      </c>
      <c r="F8476" t="s">
        <v>45</v>
      </c>
      <c r="G8476" t="s">
        <v>21</v>
      </c>
      <c r="H8476" t="s">
        <v>15</v>
      </c>
      <c r="I8476" t="s">
        <v>46</v>
      </c>
      <c r="J8476">
        <v>3.0794774E-2</v>
      </c>
      <c r="K8476">
        <v>10.938344155844197</v>
      </c>
      <c r="L8476">
        <v>122.9072</v>
      </c>
      <c r="M8476">
        <v>4</v>
      </c>
    </row>
    <row r="8477" spans="1:13" x14ac:dyDescent="0.3">
      <c r="A8477" t="s">
        <v>10</v>
      </c>
      <c r="B8477">
        <v>8476</v>
      </c>
      <c r="C8477" t="s">
        <v>868</v>
      </c>
      <c r="D8477" t="s">
        <v>12</v>
      </c>
      <c r="E8477">
        <v>2018</v>
      </c>
      <c r="F8477" t="s">
        <v>45</v>
      </c>
      <c r="G8477" t="s">
        <v>21</v>
      </c>
      <c r="H8477" t="s">
        <v>15</v>
      </c>
      <c r="I8477" t="s">
        <v>46</v>
      </c>
      <c r="J8477">
        <v>5.8542509E-2</v>
      </c>
      <c r="K8477">
        <v>10.938344155844197</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K8478">
        <v>10.938344155844197</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K8479">
        <v>10.938344155844197</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K8480">
        <v>10.938344155844197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K8481">
        <v>10.938344155844197</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K8482">
        <v>10.938344155844197</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K8483">
        <v>10.938344155844197</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K8484">
        <v>10.938344155844197</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K8485">
        <v>10.938344155844197</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K8486">
        <v>10.938344155844197</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K8487">
        <v>10.938344155844197</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K8488">
        <v>10.938344155844197</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K8489">
        <v>10.938344155844197</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K8490">
        <v>10.938344155844197</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K8491">
        <v>10.938344155844197</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K8492">
        <v>10.16340000000001</v>
      </c>
      <c r="L8492">
        <v>151.8366</v>
      </c>
      <c r="M8492">
        <v>4</v>
      </c>
    </row>
    <row r="8493" spans="1:13" x14ac:dyDescent="0.3">
      <c r="A8493" t="s">
        <v>10</v>
      </c>
      <c r="B8493">
        <v>8492</v>
      </c>
      <c r="C8493" t="s">
        <v>1013</v>
      </c>
      <c r="D8493" t="s">
        <v>54</v>
      </c>
      <c r="E8493">
        <v>2018</v>
      </c>
      <c r="F8493" t="s">
        <v>45</v>
      </c>
      <c r="G8493" t="s">
        <v>21</v>
      </c>
      <c r="H8493" t="s">
        <v>15</v>
      </c>
      <c r="I8493" t="s">
        <v>46</v>
      </c>
      <c r="J8493">
        <v>0.157701958</v>
      </c>
      <c r="K8493">
        <v>10.16340000000001</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K8494">
        <v>10.16340000000001</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K8495">
        <v>10.16340000000001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K8496">
        <v>10.16340000000001</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K8497">
        <v>10.16340000000001</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K8498">
        <v>10.16340000000001</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K8499">
        <v>10.693354166666698</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K8500">
        <v>10.693354166666698</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K8501">
        <v>10.693354166666698</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K8502">
        <v>10.693354166666698</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K8503">
        <v>10.693354166666698</v>
      </c>
      <c r="L8503">
        <v>170.7132</v>
      </c>
      <c r="M8503">
        <v>4</v>
      </c>
    </row>
    <row r="8504" spans="1:13" x14ac:dyDescent="0.3">
      <c r="A8504" t="s">
        <v>10</v>
      </c>
      <c r="B8504">
        <v>8503</v>
      </c>
      <c r="C8504" t="s">
        <v>1098</v>
      </c>
      <c r="D8504" t="s">
        <v>48</v>
      </c>
      <c r="E8504">
        <v>2018</v>
      </c>
      <c r="F8504" t="s">
        <v>45</v>
      </c>
      <c r="G8504" t="s">
        <v>21</v>
      </c>
      <c r="H8504" t="s">
        <v>15</v>
      </c>
      <c r="I8504" t="s">
        <v>46</v>
      </c>
      <c r="J8504">
        <v>2.5616191E-2</v>
      </c>
      <c r="K8504">
        <v>10.693354166666698</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K8505">
        <v>10.693354166666698</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K8506">
        <v>10.693354166666698</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K8507">
        <v>10.693354166666698</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K8508">
        <v>10.693354166666698</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K8509">
        <v>10.693354166666698</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K8510">
        <v>10.693354166666698</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K8511">
        <v>10.693354166666698</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K8512">
        <v>10.693354166666698</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K8513">
        <v>10.693354166666698</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K8514">
        <v>10.693354166666698</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K8515">
        <v>9.9571910112359632</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K8516">
        <v>10.155138888888908</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K8517">
        <v>10.219992295839765</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K8518">
        <v>10.219992295839765</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K8519">
        <v>10.938344155844197</v>
      </c>
      <c r="L8519">
        <v>222.37719999999999</v>
      </c>
      <c r="M8519">
        <v>4</v>
      </c>
    </row>
    <row r="8520" spans="1:13" x14ac:dyDescent="0.3">
      <c r="A8520" t="s">
        <v>35</v>
      </c>
      <c r="B8520">
        <v>8519</v>
      </c>
      <c r="C8520" t="s">
        <v>237</v>
      </c>
      <c r="D8520" t="s">
        <v>19</v>
      </c>
      <c r="E8520">
        <v>2018</v>
      </c>
      <c r="F8520" t="s">
        <v>45</v>
      </c>
      <c r="G8520" t="s">
        <v>21</v>
      </c>
      <c r="H8520" t="s">
        <v>15</v>
      </c>
      <c r="I8520" t="s">
        <v>46</v>
      </c>
      <c r="J8520">
        <v>0</v>
      </c>
      <c r="K8520">
        <v>10.867682692307703</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K8521">
        <v>10.693354166666698</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K8522">
        <v>9.9571910112359632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K8523">
        <v>11.142456011730232</v>
      </c>
      <c r="L8523">
        <v>97.875200000000007</v>
      </c>
      <c r="M8523">
        <v>4</v>
      </c>
    </row>
    <row r="8524" spans="1:13" x14ac:dyDescent="0.3">
      <c r="A8524" t="s">
        <v>10</v>
      </c>
      <c r="B8524">
        <v>8523</v>
      </c>
      <c r="C8524" t="s">
        <v>559</v>
      </c>
      <c r="D8524" t="s">
        <v>48</v>
      </c>
      <c r="E8524">
        <v>2018</v>
      </c>
      <c r="F8524" t="s">
        <v>45</v>
      </c>
      <c r="G8524" t="s">
        <v>21</v>
      </c>
      <c r="H8524" t="s">
        <v>15</v>
      </c>
      <c r="I8524" t="s">
        <v>46</v>
      </c>
      <c r="J8524">
        <v>0</v>
      </c>
      <c r="K8524">
        <v>10.693354166666698</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1032-FEBE-4C86-9B5A-0D6DC7B3A31C}">
  <dimension ref="A3:B8"/>
  <sheetViews>
    <sheetView workbookViewId="0">
      <selection activeCell="A4" sqref="A4"/>
    </sheetView>
  </sheetViews>
  <sheetFormatPr defaultRowHeight="15.6" x14ac:dyDescent="0.3"/>
  <cols>
    <col min="1" max="1" width="17.296875" bestFit="1" customWidth="1"/>
    <col min="2" max="2" width="11.8984375" bestFit="1" customWidth="1"/>
  </cols>
  <sheetData>
    <row r="3" spans="1:2" x14ac:dyDescent="0.3">
      <c r="A3" s="1" t="s">
        <v>1612</v>
      </c>
      <c r="B3" t="s">
        <v>1610</v>
      </c>
    </row>
    <row r="4" spans="1:2" x14ac:dyDescent="0.3">
      <c r="A4" s="2" t="s">
        <v>40</v>
      </c>
      <c r="B4" s="6">
        <v>151939.149</v>
      </c>
    </row>
    <row r="5" spans="1:2" x14ac:dyDescent="0.3">
      <c r="A5" s="2" t="s">
        <v>16</v>
      </c>
      <c r="B5" s="6">
        <v>787549.89280000131</v>
      </c>
    </row>
    <row r="6" spans="1:2" x14ac:dyDescent="0.3">
      <c r="A6" s="2" t="s">
        <v>22</v>
      </c>
      <c r="B6" s="6">
        <v>131477.77639999994</v>
      </c>
    </row>
    <row r="7" spans="1:2" x14ac:dyDescent="0.3">
      <c r="A7" s="2" t="s">
        <v>46</v>
      </c>
      <c r="B7" s="6">
        <v>130714.67460000006</v>
      </c>
    </row>
    <row r="8" spans="1:2" x14ac:dyDescent="0.3">
      <c r="A8" s="2" t="s">
        <v>1615</v>
      </c>
      <c r="B8" s="6">
        <v>1201681.4928000013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619-716B-475F-BD26-35A2E78A6EC3}">
  <dimension ref="A3:B6"/>
  <sheetViews>
    <sheetView workbookViewId="0">
      <selection activeCell="E20" sqref="E20"/>
    </sheetView>
  </sheetViews>
  <sheetFormatPr defaultRowHeight="15.6" x14ac:dyDescent="0.3"/>
  <cols>
    <col min="1" max="1" width="12.296875" bestFit="1" customWidth="1"/>
    <col min="2" max="2" width="11.8984375" bestFit="1" customWidth="1"/>
  </cols>
  <sheetData>
    <row r="3" spans="1:2" x14ac:dyDescent="0.3">
      <c r="A3" s="1" t="s">
        <v>1612</v>
      </c>
      <c r="B3" t="s">
        <v>1610</v>
      </c>
    </row>
    <row r="4" spans="1:2" x14ac:dyDescent="0.3">
      <c r="A4" s="2" t="s">
        <v>17</v>
      </c>
      <c r="B4" s="6">
        <v>776319.68840000057</v>
      </c>
    </row>
    <row r="5" spans="1:2" x14ac:dyDescent="0.3">
      <c r="A5" s="2" t="s">
        <v>10</v>
      </c>
      <c r="B5" s="6">
        <v>425361.8043999995</v>
      </c>
    </row>
    <row r="6" spans="1:2" x14ac:dyDescent="0.3">
      <c r="A6" s="2" t="s">
        <v>1615</v>
      </c>
      <c r="B6" s="6">
        <v>1201681.4928000001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8416-F870-4101-A1EB-BDFB0F6AF016}">
  <dimension ref="A3:B13"/>
  <sheetViews>
    <sheetView workbookViewId="0">
      <selection activeCell="J21" sqref="J21"/>
    </sheetView>
  </sheetViews>
  <sheetFormatPr defaultRowHeight="15.6" x14ac:dyDescent="0.3"/>
  <cols>
    <col min="1" max="1" width="12.296875" bestFit="1" customWidth="1"/>
    <col min="2" max="2" width="11.8984375" bestFit="1" customWidth="1"/>
  </cols>
  <sheetData>
    <row r="3" spans="1:2" x14ac:dyDescent="0.3">
      <c r="A3" s="1" t="s">
        <v>1612</v>
      </c>
      <c r="B3" t="s">
        <v>1610</v>
      </c>
    </row>
    <row r="4" spans="1:2" x14ac:dyDescent="0.3">
      <c r="A4" s="2">
        <v>2011</v>
      </c>
      <c r="B4" s="6">
        <v>78131.566599999976</v>
      </c>
    </row>
    <row r="5" spans="1:2" x14ac:dyDescent="0.3">
      <c r="A5" s="2">
        <v>2012</v>
      </c>
      <c r="B5" s="6">
        <v>130476.85979999998</v>
      </c>
    </row>
    <row r="6" spans="1:2" x14ac:dyDescent="0.3">
      <c r="A6" s="2">
        <v>2014</v>
      </c>
      <c r="B6" s="6">
        <v>131809.01560000007</v>
      </c>
    </row>
    <row r="7" spans="1:2" x14ac:dyDescent="0.3">
      <c r="A7" s="2">
        <v>2015</v>
      </c>
      <c r="B7" s="6">
        <v>130942.78019999999</v>
      </c>
    </row>
    <row r="8" spans="1:2" x14ac:dyDescent="0.3">
      <c r="A8" s="2">
        <v>2016</v>
      </c>
      <c r="B8" s="6">
        <v>132113.36980000007</v>
      </c>
    </row>
    <row r="9" spans="1:2" x14ac:dyDescent="0.3">
      <c r="A9" s="2">
        <v>2017</v>
      </c>
      <c r="B9" s="6">
        <v>133103.90699999989</v>
      </c>
    </row>
    <row r="10" spans="1:2" x14ac:dyDescent="0.3">
      <c r="A10" s="2">
        <v>2018</v>
      </c>
      <c r="B10" s="6">
        <v>204522.25700000025</v>
      </c>
    </row>
    <row r="11" spans="1:2" x14ac:dyDescent="0.3">
      <c r="A11" s="2">
        <v>2020</v>
      </c>
      <c r="B11" s="6">
        <v>129103.96039999987</v>
      </c>
    </row>
    <row r="12" spans="1:2" x14ac:dyDescent="0.3">
      <c r="A12" s="2">
        <v>2022</v>
      </c>
      <c r="B12" s="6">
        <v>131477.77639999994</v>
      </c>
    </row>
    <row r="13" spans="1:2" x14ac:dyDescent="0.3">
      <c r="A13" s="2" t="s">
        <v>1615</v>
      </c>
      <c r="B13" s="6">
        <v>1201681.4927999999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F938-033D-4D8B-BE9E-3135127A68E8}">
  <dimension ref="A3:B20"/>
  <sheetViews>
    <sheetView workbookViewId="0">
      <selection activeCell="K16" sqref="K16"/>
    </sheetView>
  </sheetViews>
  <sheetFormatPr defaultRowHeight="15.6" x14ac:dyDescent="0.3"/>
  <cols>
    <col min="1" max="1" width="19.09765625" bestFit="1" customWidth="1"/>
    <col min="2" max="2" width="11.8984375" bestFit="1" customWidth="1"/>
  </cols>
  <sheetData>
    <row r="3" spans="1:2" x14ac:dyDescent="0.3">
      <c r="A3" s="1" t="s">
        <v>1612</v>
      </c>
      <c r="B3" t="s">
        <v>1610</v>
      </c>
    </row>
    <row r="4" spans="1:2" x14ac:dyDescent="0.3">
      <c r="A4" s="2" t="s">
        <v>95</v>
      </c>
      <c r="B4" s="6">
        <v>81894.736400000009</v>
      </c>
    </row>
    <row r="5" spans="1:2" x14ac:dyDescent="0.3">
      <c r="A5" s="2" t="s">
        <v>57</v>
      </c>
      <c r="B5" s="6">
        <v>35379.119800000015</v>
      </c>
    </row>
    <row r="6" spans="1:2" x14ac:dyDescent="0.3">
      <c r="A6" s="2" t="s">
        <v>74</v>
      </c>
      <c r="B6" s="6">
        <v>15596.696600000001</v>
      </c>
    </row>
    <row r="7" spans="1:2" x14ac:dyDescent="0.3">
      <c r="A7" s="2" t="s">
        <v>28</v>
      </c>
      <c r="B7" s="6">
        <v>90706.728999999992</v>
      </c>
    </row>
    <row r="8" spans="1:2" x14ac:dyDescent="0.3">
      <c r="A8" s="2" t="s">
        <v>67</v>
      </c>
      <c r="B8" s="6">
        <v>101276.46159999995</v>
      </c>
    </row>
    <row r="9" spans="1:2" x14ac:dyDescent="0.3">
      <c r="A9" s="2" t="s">
        <v>24</v>
      </c>
      <c r="B9" s="6">
        <v>118558.88140000009</v>
      </c>
    </row>
    <row r="10" spans="1:2" x14ac:dyDescent="0.3">
      <c r="A10" s="2" t="s">
        <v>12</v>
      </c>
      <c r="B10" s="6">
        <v>178124.08099999995</v>
      </c>
    </row>
    <row r="11" spans="1:2" x14ac:dyDescent="0.3">
      <c r="A11" s="2" t="s">
        <v>61</v>
      </c>
      <c r="B11" s="6">
        <v>29334.680599999996</v>
      </c>
    </row>
    <row r="12" spans="1:2" x14ac:dyDescent="0.3">
      <c r="A12" s="2" t="s">
        <v>19</v>
      </c>
      <c r="B12" s="6">
        <v>68025.838800000012</v>
      </c>
    </row>
    <row r="13" spans="1:2" x14ac:dyDescent="0.3">
      <c r="A13" s="2" t="s">
        <v>42</v>
      </c>
      <c r="B13" s="6">
        <v>135976.52539999998</v>
      </c>
    </row>
    <row r="14" spans="1:2" x14ac:dyDescent="0.3">
      <c r="A14" s="2" t="s">
        <v>54</v>
      </c>
      <c r="B14" s="6">
        <v>59449.863799999992</v>
      </c>
    </row>
    <row r="15" spans="1:2" x14ac:dyDescent="0.3">
      <c r="A15" s="2" t="s">
        <v>64</v>
      </c>
      <c r="B15" s="6">
        <v>22451.891599999999</v>
      </c>
    </row>
    <row r="16" spans="1:2" x14ac:dyDescent="0.3">
      <c r="A16" s="2" t="s">
        <v>153</v>
      </c>
      <c r="B16" s="6">
        <v>9077.869999999999</v>
      </c>
    </row>
    <row r="17" spans="1:2" x14ac:dyDescent="0.3">
      <c r="A17" s="2" t="s">
        <v>48</v>
      </c>
      <c r="B17" s="6">
        <v>175433.92240000021</v>
      </c>
    </row>
    <row r="18" spans="1:2" x14ac:dyDescent="0.3">
      <c r="A18" s="2" t="s">
        <v>32</v>
      </c>
      <c r="B18" s="6">
        <v>58514.166999999987</v>
      </c>
    </row>
    <row r="19" spans="1:2" x14ac:dyDescent="0.3">
      <c r="A19" s="2" t="s">
        <v>159</v>
      </c>
      <c r="B19" s="6">
        <v>21880.027399999992</v>
      </c>
    </row>
    <row r="20" spans="1:2" x14ac:dyDescent="0.3">
      <c r="A20" s="2" t="s">
        <v>1615</v>
      </c>
      <c r="B20" s="6">
        <v>1201681.4927999999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1902-617C-4175-B5C5-98BA95F06C5D}">
  <dimension ref="A3:B7"/>
  <sheetViews>
    <sheetView workbookViewId="0">
      <selection activeCell="J19" sqref="J19"/>
    </sheetView>
  </sheetViews>
  <sheetFormatPr defaultRowHeight="15.6" x14ac:dyDescent="0.3"/>
  <cols>
    <col min="1" max="1" width="12.296875" bestFit="1" customWidth="1"/>
    <col min="2" max="2" width="11.8984375" bestFit="1" customWidth="1"/>
  </cols>
  <sheetData>
    <row r="3" spans="1:2" x14ac:dyDescent="0.3">
      <c r="A3" s="1" t="s">
        <v>1612</v>
      </c>
      <c r="B3" t="s">
        <v>1610</v>
      </c>
    </row>
    <row r="4" spans="1:2" x14ac:dyDescent="0.3">
      <c r="A4" s="2" t="s">
        <v>30</v>
      </c>
      <c r="B4" s="6">
        <v>248991.58600000024</v>
      </c>
    </row>
    <row r="5" spans="1:2" x14ac:dyDescent="0.3">
      <c r="A5" s="2" t="s">
        <v>15</v>
      </c>
      <c r="B5" s="6">
        <v>507895.7363999993</v>
      </c>
    </row>
    <row r="6" spans="1:2" x14ac:dyDescent="0.3">
      <c r="A6" s="2" t="s">
        <v>26</v>
      </c>
      <c r="B6" s="6">
        <v>444794.17039999936</v>
      </c>
    </row>
    <row r="7" spans="1:2" x14ac:dyDescent="0.3">
      <c r="A7" s="2" t="s">
        <v>1615</v>
      </c>
      <c r="B7" s="6">
        <v>1201681.4927999987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D2C8-97D4-4E04-BACF-A35BC1D4A2AD}">
  <dimension ref="A1"/>
  <sheetViews>
    <sheetView showGridLines="0" tabSelected="1" topLeftCell="A13" zoomScale="60" zoomScaleNormal="60" workbookViewId="0">
      <selection activeCell="AH20" sqref="AH2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Blinkit Grocery Data</vt:lpstr>
      <vt:lpstr>Pivot1-Outlet Type</vt:lpstr>
      <vt:lpstr>Pivot2-Fat Content</vt:lpstr>
      <vt:lpstr>Pivot3 -Year Trend</vt:lpstr>
      <vt:lpstr>Pivot4-Item Type</vt:lpstr>
      <vt:lpstr>Pivot5-Outlet Size</vt:lpstr>
      <vt:lpstr>Blinkit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ANIMESH DESHMUKH</cp:lastModifiedBy>
  <dcterms:created xsi:type="dcterms:W3CDTF">2024-06-23T13:11:17Z</dcterms:created>
  <dcterms:modified xsi:type="dcterms:W3CDTF">2026-08-19T14:34:25Z</dcterms:modified>
</cp:coreProperties>
</file>